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 Data\Downloads\"/>
    </mc:Choice>
  </mc:AlternateContent>
  <xr:revisionPtr revIDLastSave="0" documentId="13_ncr:1_{E112E0EB-714C-4EE4-AE34-1F2D87334E94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체중별_손익표" sheetId="1" r:id="rId1"/>
    <sheet name="거리구간표" sheetId="3" r:id="rId2"/>
    <sheet name="기준값" sheetId="2" r:id="rId3"/>
    <sheet name="거리구간별_체중별_손익표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4" i="4" l="1"/>
  <c r="D65" i="4"/>
  <c r="J81" i="4"/>
  <c r="J82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2" i="4"/>
  <c r="B68" i="4"/>
  <c r="B66" i="4"/>
  <c r="B64" i="4"/>
  <c r="B62" i="4"/>
  <c r="J60" i="4"/>
  <c r="I60" i="4"/>
  <c r="H60" i="4"/>
  <c r="G60" i="4"/>
  <c r="F60" i="4"/>
  <c r="E60" i="4"/>
  <c r="D60" i="4"/>
  <c r="C60" i="4"/>
  <c r="B60" i="4"/>
  <c r="J59" i="4"/>
  <c r="I59" i="4"/>
  <c r="H59" i="4"/>
  <c r="G59" i="4"/>
  <c r="F59" i="4"/>
  <c r="E59" i="4"/>
  <c r="D59" i="4"/>
  <c r="C59" i="4"/>
  <c r="B59" i="4"/>
  <c r="J58" i="4"/>
  <c r="I58" i="4"/>
  <c r="H58" i="4"/>
  <c r="G58" i="4"/>
  <c r="F58" i="4"/>
  <c r="E58" i="4"/>
  <c r="D58" i="4"/>
  <c r="C58" i="4"/>
  <c r="B58" i="4"/>
  <c r="J57" i="4"/>
  <c r="I57" i="4"/>
  <c r="H57" i="4"/>
  <c r="G57" i="4"/>
  <c r="F57" i="4"/>
  <c r="E57" i="4"/>
  <c r="D57" i="4"/>
  <c r="C57" i="4"/>
  <c r="B57" i="4"/>
  <c r="A55" i="4"/>
  <c r="J51" i="4"/>
  <c r="I51" i="4"/>
  <c r="F51" i="4"/>
  <c r="D51" i="4"/>
  <c r="C51" i="4"/>
  <c r="B51" i="4"/>
  <c r="F50" i="4"/>
  <c r="D50" i="4"/>
  <c r="B50" i="4"/>
  <c r="J49" i="4"/>
  <c r="I49" i="4"/>
  <c r="F49" i="4"/>
  <c r="D49" i="4"/>
  <c r="C49" i="4"/>
  <c r="B49" i="4"/>
  <c r="F48" i="4"/>
  <c r="D48" i="4"/>
  <c r="B48" i="4"/>
  <c r="J47" i="4"/>
  <c r="I47" i="4"/>
  <c r="F47" i="4"/>
  <c r="D47" i="4"/>
  <c r="C47" i="4"/>
  <c r="B47" i="4"/>
  <c r="F46" i="4"/>
  <c r="D46" i="4"/>
  <c r="B46" i="4"/>
  <c r="J45" i="4"/>
  <c r="I45" i="4"/>
  <c r="F45" i="4"/>
  <c r="D45" i="4"/>
  <c r="C45" i="4"/>
  <c r="B45" i="4"/>
  <c r="F44" i="4"/>
  <c r="D44" i="4"/>
  <c r="B44" i="4"/>
  <c r="J43" i="4"/>
  <c r="I43" i="4"/>
  <c r="F43" i="4"/>
  <c r="D43" i="4"/>
  <c r="C43" i="4"/>
  <c r="B43" i="4"/>
  <c r="F42" i="4"/>
  <c r="D42" i="4"/>
  <c r="B42" i="4"/>
  <c r="J41" i="4"/>
  <c r="I41" i="4"/>
  <c r="F41" i="4"/>
  <c r="D41" i="4"/>
  <c r="C41" i="4"/>
  <c r="B41" i="4"/>
  <c r="F40" i="4"/>
  <c r="D40" i="4"/>
  <c r="B40" i="4"/>
  <c r="J39" i="4"/>
  <c r="I39" i="4"/>
  <c r="F39" i="4"/>
  <c r="D39" i="4"/>
  <c r="C39" i="4"/>
  <c r="B39" i="4"/>
  <c r="F38" i="4"/>
  <c r="D38" i="4"/>
  <c r="B38" i="4"/>
  <c r="J37" i="4"/>
  <c r="I37" i="4"/>
  <c r="F37" i="4"/>
  <c r="D37" i="4"/>
  <c r="C37" i="4"/>
  <c r="B37" i="4"/>
  <c r="F36" i="4"/>
  <c r="D36" i="4"/>
  <c r="B36" i="4"/>
  <c r="J35" i="4"/>
  <c r="I35" i="4"/>
  <c r="F35" i="4"/>
  <c r="D35" i="4"/>
  <c r="C35" i="4"/>
  <c r="B35" i="4"/>
  <c r="F34" i="4"/>
  <c r="D34" i="4"/>
  <c r="B34" i="4"/>
  <c r="J33" i="4"/>
  <c r="I33" i="4"/>
  <c r="F33" i="4"/>
  <c r="D33" i="4"/>
  <c r="C33" i="4"/>
  <c r="B33" i="4"/>
  <c r="F32" i="4"/>
  <c r="D32" i="4"/>
  <c r="B32" i="4"/>
  <c r="J31" i="4"/>
  <c r="I31" i="4"/>
  <c r="F31" i="4"/>
  <c r="D31" i="4"/>
  <c r="C31" i="4"/>
  <c r="B31" i="4"/>
  <c r="J30" i="4"/>
  <c r="I30" i="4"/>
  <c r="H30" i="4"/>
  <c r="G30" i="4"/>
  <c r="F30" i="4"/>
  <c r="E30" i="4"/>
  <c r="D30" i="4"/>
  <c r="C30" i="4"/>
  <c r="B30" i="4"/>
  <c r="A29" i="4"/>
  <c r="J26" i="4"/>
  <c r="G26" i="4"/>
  <c r="E26" i="4"/>
  <c r="D26" i="4"/>
  <c r="C26" i="4"/>
  <c r="G25" i="4"/>
  <c r="E25" i="4"/>
  <c r="C25" i="4"/>
  <c r="B25" i="4"/>
  <c r="J24" i="4"/>
  <c r="G24" i="4"/>
  <c r="E24" i="4"/>
  <c r="D24" i="4"/>
  <c r="C24" i="4"/>
  <c r="G23" i="4"/>
  <c r="E23" i="4"/>
  <c r="C23" i="4"/>
  <c r="B23" i="4"/>
  <c r="J22" i="4"/>
  <c r="G22" i="4"/>
  <c r="E22" i="4"/>
  <c r="D22" i="4"/>
  <c r="C22" i="4"/>
  <c r="G21" i="4"/>
  <c r="E21" i="4"/>
  <c r="C21" i="4"/>
  <c r="B21" i="4"/>
  <c r="J20" i="4"/>
  <c r="G20" i="4"/>
  <c r="E20" i="4"/>
  <c r="D20" i="4"/>
  <c r="C20" i="4"/>
  <c r="G19" i="4"/>
  <c r="E19" i="4"/>
  <c r="C19" i="4"/>
  <c r="B19" i="4"/>
  <c r="J18" i="4"/>
  <c r="G18" i="4"/>
  <c r="E18" i="4"/>
  <c r="D18" i="4"/>
  <c r="C18" i="4"/>
  <c r="G17" i="4"/>
  <c r="E17" i="4"/>
  <c r="C17" i="4"/>
  <c r="B17" i="4"/>
  <c r="J16" i="4"/>
  <c r="G16" i="4"/>
  <c r="E16" i="4"/>
  <c r="D16" i="4"/>
  <c r="C16" i="4"/>
  <c r="G15" i="4"/>
  <c r="E15" i="4"/>
  <c r="C15" i="4"/>
  <c r="B15" i="4"/>
  <c r="J14" i="4"/>
  <c r="G14" i="4"/>
  <c r="E14" i="4"/>
  <c r="D14" i="4"/>
  <c r="C14" i="4"/>
  <c r="G13" i="4"/>
  <c r="E13" i="4"/>
  <c r="C13" i="4"/>
  <c r="B13" i="4"/>
  <c r="J12" i="4"/>
  <c r="G12" i="4"/>
  <c r="E12" i="4"/>
  <c r="D12" i="4"/>
  <c r="C12" i="4"/>
  <c r="G11" i="4"/>
  <c r="E11" i="4"/>
  <c r="C11" i="4"/>
  <c r="B11" i="4"/>
  <c r="J10" i="4"/>
  <c r="G10" i="4"/>
  <c r="E10" i="4"/>
  <c r="D10" i="4"/>
  <c r="C10" i="4"/>
  <c r="G9" i="4"/>
  <c r="E9" i="4"/>
  <c r="C9" i="4"/>
  <c r="B9" i="4"/>
  <c r="J8" i="4"/>
  <c r="G8" i="4"/>
  <c r="E8" i="4"/>
  <c r="D8" i="4"/>
  <c r="C8" i="4"/>
  <c r="G7" i="4"/>
  <c r="E7" i="4"/>
  <c r="C7" i="4"/>
  <c r="B7" i="4"/>
  <c r="J6" i="4"/>
  <c r="I6" i="4"/>
  <c r="G6" i="4"/>
  <c r="E6" i="4"/>
  <c r="D6" i="4"/>
  <c r="C6" i="4"/>
  <c r="J5" i="4"/>
  <c r="I5" i="4"/>
  <c r="H5" i="4"/>
  <c r="G5" i="4"/>
  <c r="F5" i="4"/>
  <c r="E5" i="4"/>
  <c r="D5" i="4"/>
  <c r="C5" i="4"/>
  <c r="B5" i="4"/>
  <c r="A4" i="4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B10" i="2"/>
  <c r="B7" i="2"/>
  <c r="V86" i="4" s="1"/>
  <c r="K26" i="1"/>
  <c r="L26" i="1" s="1"/>
  <c r="J26" i="1"/>
  <c r="D26" i="1"/>
  <c r="E26" i="1" s="1"/>
  <c r="G26" i="1" s="1"/>
  <c r="H26" i="1" s="1"/>
  <c r="I26" i="1" s="1"/>
  <c r="C26" i="1"/>
  <c r="B26" i="1"/>
  <c r="K25" i="1"/>
  <c r="L25" i="1" s="1"/>
  <c r="J25" i="1"/>
  <c r="D25" i="1"/>
  <c r="E25" i="1" s="1"/>
  <c r="C25" i="1"/>
  <c r="B25" i="1"/>
  <c r="K24" i="1"/>
  <c r="L24" i="1" s="1"/>
  <c r="M24" i="1" s="1"/>
  <c r="J24" i="1"/>
  <c r="D24" i="1"/>
  <c r="E24" i="1" s="1"/>
  <c r="C24" i="1"/>
  <c r="B24" i="1"/>
  <c r="K23" i="1"/>
  <c r="L23" i="1" s="1"/>
  <c r="N23" i="1" s="1"/>
  <c r="O23" i="1" s="1"/>
  <c r="P23" i="1" s="1"/>
  <c r="J23" i="1"/>
  <c r="D23" i="1"/>
  <c r="E23" i="1" s="1"/>
  <c r="C23" i="1"/>
  <c r="B23" i="1"/>
  <c r="K22" i="1"/>
  <c r="L22" i="1" s="1"/>
  <c r="J22" i="1"/>
  <c r="D22" i="1"/>
  <c r="E22" i="1" s="1"/>
  <c r="G22" i="1" s="1"/>
  <c r="H22" i="1" s="1"/>
  <c r="I22" i="1" s="1"/>
  <c r="C22" i="1"/>
  <c r="B22" i="1"/>
  <c r="K21" i="1"/>
  <c r="L21" i="1" s="1"/>
  <c r="J21" i="1"/>
  <c r="E21" i="1"/>
  <c r="G21" i="1" s="1"/>
  <c r="H21" i="1" s="1"/>
  <c r="I21" i="1" s="1"/>
  <c r="D21" i="1"/>
  <c r="C21" i="1"/>
  <c r="B21" i="1"/>
  <c r="K20" i="1"/>
  <c r="L20" i="1" s="1"/>
  <c r="J20" i="1"/>
  <c r="D20" i="1"/>
  <c r="E20" i="1" s="1"/>
  <c r="G20" i="1" s="1"/>
  <c r="H20" i="1" s="1"/>
  <c r="I20" i="1" s="1"/>
  <c r="C20" i="1"/>
  <c r="B20" i="1"/>
  <c r="K19" i="1"/>
  <c r="L19" i="1" s="1"/>
  <c r="J19" i="1"/>
  <c r="D19" i="1"/>
  <c r="E19" i="1" s="1"/>
  <c r="C19" i="1"/>
  <c r="B19" i="1"/>
  <c r="K18" i="1"/>
  <c r="L18" i="1" s="1"/>
  <c r="M18" i="1" s="1"/>
  <c r="J18" i="1"/>
  <c r="D18" i="1"/>
  <c r="E18" i="1" s="1"/>
  <c r="C18" i="1"/>
  <c r="B18" i="1"/>
  <c r="K17" i="1"/>
  <c r="L17" i="1" s="1"/>
  <c r="J17" i="1"/>
  <c r="D17" i="1"/>
  <c r="E17" i="1" s="1"/>
  <c r="C17" i="1"/>
  <c r="B17" i="1"/>
  <c r="K16" i="1"/>
  <c r="L16" i="1" s="1"/>
  <c r="J16" i="1"/>
  <c r="D16" i="1"/>
  <c r="E16" i="1" s="1"/>
  <c r="G16" i="1" s="1"/>
  <c r="H16" i="1" s="1"/>
  <c r="I16" i="1" s="1"/>
  <c r="C16" i="1"/>
  <c r="B16" i="1"/>
  <c r="K15" i="1"/>
  <c r="L15" i="1" s="1"/>
  <c r="J15" i="1"/>
  <c r="D15" i="1"/>
  <c r="E15" i="1" s="1"/>
  <c r="C15" i="1"/>
  <c r="B15" i="1"/>
  <c r="K14" i="1"/>
  <c r="L14" i="1" s="1"/>
  <c r="J14" i="1"/>
  <c r="D14" i="1"/>
  <c r="E14" i="1" s="1"/>
  <c r="G14" i="1" s="1"/>
  <c r="H14" i="1" s="1"/>
  <c r="I14" i="1" s="1"/>
  <c r="C14" i="1"/>
  <c r="B14" i="1"/>
  <c r="K13" i="1"/>
  <c r="L13" i="1" s="1"/>
  <c r="J13" i="1"/>
  <c r="D13" i="1"/>
  <c r="E13" i="1" s="1"/>
  <c r="C13" i="1"/>
  <c r="B13" i="1"/>
  <c r="K12" i="1"/>
  <c r="L12" i="1" s="1"/>
  <c r="M12" i="1" s="1"/>
  <c r="J12" i="1"/>
  <c r="D12" i="1"/>
  <c r="E12" i="1" s="1"/>
  <c r="C12" i="1"/>
  <c r="B12" i="1"/>
  <c r="K11" i="1"/>
  <c r="L11" i="1" s="1"/>
  <c r="J11" i="1"/>
  <c r="D11" i="1"/>
  <c r="E11" i="1" s="1"/>
  <c r="C11" i="1"/>
  <c r="B11" i="1"/>
  <c r="K10" i="1"/>
  <c r="L10" i="1" s="1"/>
  <c r="J10" i="1"/>
  <c r="D10" i="1"/>
  <c r="E10" i="1" s="1"/>
  <c r="G10" i="1" s="1"/>
  <c r="H10" i="1" s="1"/>
  <c r="I10" i="1" s="1"/>
  <c r="C10" i="1"/>
  <c r="B10" i="1"/>
  <c r="K9" i="1"/>
  <c r="L9" i="1" s="1"/>
  <c r="J9" i="1"/>
  <c r="D9" i="1"/>
  <c r="E9" i="1" s="1"/>
  <c r="G9" i="1" s="1"/>
  <c r="H9" i="1" s="1"/>
  <c r="I9" i="1" s="1"/>
  <c r="C9" i="1"/>
  <c r="B9" i="1"/>
  <c r="K8" i="1"/>
  <c r="L8" i="1" s="1"/>
  <c r="J8" i="1"/>
  <c r="D8" i="1"/>
  <c r="E8" i="1" s="1"/>
  <c r="C8" i="1"/>
  <c r="B8" i="1"/>
  <c r="K7" i="1"/>
  <c r="L7" i="1" s="1"/>
  <c r="J7" i="1"/>
  <c r="D7" i="1"/>
  <c r="E7" i="1" s="1"/>
  <c r="C7" i="1"/>
  <c r="B7" i="1"/>
  <c r="K6" i="1"/>
  <c r="L6" i="1" s="1"/>
  <c r="N6" i="1" s="1"/>
  <c r="O6" i="1" s="1"/>
  <c r="P6" i="1" s="1"/>
  <c r="J6" i="1"/>
  <c r="D6" i="1"/>
  <c r="E6" i="1" s="1"/>
  <c r="C6" i="1"/>
  <c r="B6" i="1"/>
  <c r="J4" i="1"/>
  <c r="B4" i="1"/>
  <c r="F8" i="1" l="1"/>
  <c r="G8" i="1"/>
  <c r="H8" i="1" s="1"/>
  <c r="I8" i="1" s="1"/>
  <c r="F12" i="1"/>
  <c r="G12" i="1"/>
  <c r="H12" i="1" s="1"/>
  <c r="I12" i="1" s="1"/>
  <c r="M22" i="1"/>
  <c r="N22" i="1"/>
  <c r="O22" i="1" s="1"/>
  <c r="P22" i="1" s="1"/>
  <c r="N16" i="1"/>
  <c r="O16" i="1" s="1"/>
  <c r="P16" i="1" s="1"/>
  <c r="M16" i="1"/>
  <c r="G7" i="1"/>
  <c r="H7" i="1" s="1"/>
  <c r="I7" i="1" s="1"/>
  <c r="F7" i="1"/>
  <c r="G24" i="1"/>
  <c r="H24" i="1" s="1"/>
  <c r="I24" i="1" s="1"/>
  <c r="F24" i="1"/>
  <c r="G25" i="1"/>
  <c r="H25" i="1" s="1"/>
  <c r="I25" i="1" s="1"/>
  <c r="F25" i="1"/>
  <c r="M15" i="1"/>
  <c r="N15" i="1"/>
  <c r="O15" i="1" s="1"/>
  <c r="P15" i="1" s="1"/>
  <c r="G6" i="1"/>
  <c r="H6" i="1" s="1"/>
  <c r="I6" i="1" s="1"/>
  <c r="F6" i="1"/>
  <c r="G19" i="1"/>
  <c r="H19" i="1" s="1"/>
  <c r="I19" i="1" s="1"/>
  <c r="F19" i="1"/>
  <c r="N9" i="1"/>
  <c r="O9" i="1" s="1"/>
  <c r="P9" i="1" s="1"/>
  <c r="M9" i="1"/>
  <c r="F13" i="1"/>
  <c r="G13" i="1"/>
  <c r="H13" i="1" s="1"/>
  <c r="I13" i="1" s="1"/>
  <c r="N10" i="1"/>
  <c r="O10" i="1" s="1"/>
  <c r="P10" i="1" s="1"/>
  <c r="M10" i="1"/>
  <c r="N17" i="1"/>
  <c r="O17" i="1" s="1"/>
  <c r="P17" i="1" s="1"/>
  <c r="M17" i="1"/>
  <c r="N11" i="1"/>
  <c r="O11" i="1" s="1"/>
  <c r="P11" i="1" s="1"/>
  <c r="M11" i="1"/>
  <c r="G15" i="1"/>
  <c r="H15" i="1" s="1"/>
  <c r="I15" i="1" s="1"/>
  <c r="F15" i="1"/>
  <c r="M21" i="1"/>
  <c r="N21" i="1"/>
  <c r="O21" i="1" s="1"/>
  <c r="P21" i="1" s="1"/>
  <c r="G18" i="1"/>
  <c r="H18" i="1" s="1"/>
  <c r="I18" i="1" s="1"/>
  <c r="F18" i="1"/>
  <c r="N24" i="1"/>
  <c r="O24" i="1" s="1"/>
  <c r="P24" i="1" s="1"/>
  <c r="F26" i="1"/>
  <c r="G23" i="1"/>
  <c r="H23" i="1" s="1"/>
  <c r="I23" i="1" s="1"/>
  <c r="F23" i="1"/>
  <c r="N18" i="1"/>
  <c r="O18" i="1" s="1"/>
  <c r="P18" i="1" s="1"/>
  <c r="F20" i="1"/>
  <c r="G17" i="1"/>
  <c r="H17" i="1" s="1"/>
  <c r="I17" i="1" s="1"/>
  <c r="F17" i="1"/>
  <c r="N12" i="1"/>
  <c r="O12" i="1" s="1"/>
  <c r="P12" i="1" s="1"/>
  <c r="F14" i="1"/>
  <c r="M26" i="1"/>
  <c r="N26" i="1"/>
  <c r="O26" i="1" s="1"/>
  <c r="P26" i="1" s="1"/>
  <c r="N13" i="1"/>
  <c r="O13" i="1" s="1"/>
  <c r="P13" i="1" s="1"/>
  <c r="M13" i="1"/>
  <c r="F9" i="1"/>
  <c r="N7" i="1"/>
  <c r="O7" i="1" s="1"/>
  <c r="P7" i="1" s="1"/>
  <c r="M7" i="1"/>
  <c r="M6" i="1"/>
  <c r="G11" i="1"/>
  <c r="H11" i="1" s="1"/>
  <c r="I11" i="1" s="1"/>
  <c r="F11" i="1"/>
  <c r="F22" i="1"/>
  <c r="M23" i="1"/>
  <c r="N20" i="1"/>
  <c r="O20" i="1" s="1"/>
  <c r="P20" i="1" s="1"/>
  <c r="M20" i="1"/>
  <c r="F16" i="1"/>
  <c r="N14" i="1"/>
  <c r="O14" i="1" s="1"/>
  <c r="P14" i="1" s="1"/>
  <c r="M14" i="1"/>
  <c r="F10" i="1"/>
  <c r="N25" i="1"/>
  <c r="O25" i="1" s="1"/>
  <c r="P25" i="1" s="1"/>
  <c r="M25" i="1"/>
  <c r="M8" i="1"/>
  <c r="N8" i="1"/>
  <c r="O8" i="1" s="1"/>
  <c r="P8" i="1" s="1"/>
  <c r="F21" i="1"/>
  <c r="N19" i="1"/>
  <c r="O19" i="1" s="1"/>
  <c r="P19" i="1" s="1"/>
  <c r="M19" i="1"/>
  <c r="C62" i="4"/>
  <c r="C64" i="4"/>
  <c r="C66" i="4"/>
  <c r="C68" i="4"/>
  <c r="K78" i="4"/>
  <c r="H79" i="4"/>
  <c r="E80" i="4"/>
  <c r="B81" i="4"/>
  <c r="T81" i="4"/>
  <c r="Q82" i="4"/>
  <c r="N83" i="4"/>
  <c r="K84" i="4"/>
  <c r="H85" i="4"/>
  <c r="E86" i="4"/>
  <c r="F6" i="4"/>
  <c r="F8" i="4"/>
  <c r="F10" i="4"/>
  <c r="F12" i="4"/>
  <c r="F14" i="4"/>
  <c r="F16" i="4"/>
  <c r="F18" i="4"/>
  <c r="F20" i="4"/>
  <c r="F22" i="4"/>
  <c r="F24" i="4"/>
  <c r="F26" i="4"/>
  <c r="E31" i="4"/>
  <c r="E33" i="4"/>
  <c r="E35" i="4"/>
  <c r="E37" i="4"/>
  <c r="E39" i="4"/>
  <c r="E41" i="4"/>
  <c r="E43" i="4"/>
  <c r="E45" i="4"/>
  <c r="E47" i="4"/>
  <c r="E49" i="4"/>
  <c r="E51" i="4"/>
  <c r="D62" i="4"/>
  <c r="D64" i="4"/>
  <c r="D66" i="4"/>
  <c r="D68" i="4"/>
  <c r="L78" i="4"/>
  <c r="I79" i="4"/>
  <c r="F80" i="4"/>
  <c r="C81" i="4"/>
  <c r="U81" i="4"/>
  <c r="R82" i="4"/>
  <c r="O83" i="4"/>
  <c r="L84" i="4"/>
  <c r="I85" i="4"/>
  <c r="F86" i="4"/>
  <c r="E62" i="4"/>
  <c r="E64" i="4"/>
  <c r="E66" i="4"/>
  <c r="E68" i="4"/>
  <c r="M78" i="4"/>
  <c r="J79" i="4"/>
  <c r="G80" i="4"/>
  <c r="D81" i="4"/>
  <c r="V81" i="4"/>
  <c r="S82" i="4"/>
  <c r="P83" i="4"/>
  <c r="M84" i="4"/>
  <c r="J85" i="4"/>
  <c r="G86" i="4"/>
  <c r="H6" i="4"/>
  <c r="H8" i="4"/>
  <c r="H10" i="4"/>
  <c r="H12" i="4"/>
  <c r="H14" i="4"/>
  <c r="H16" i="4"/>
  <c r="H18" i="4"/>
  <c r="H20" i="4"/>
  <c r="H22" i="4"/>
  <c r="H24" i="4"/>
  <c r="H26" i="4"/>
  <c r="G31" i="4"/>
  <c r="G33" i="4"/>
  <c r="G35" i="4"/>
  <c r="G37" i="4"/>
  <c r="G39" i="4"/>
  <c r="G41" i="4"/>
  <c r="G43" i="4"/>
  <c r="G45" i="4"/>
  <c r="G47" i="4"/>
  <c r="G49" i="4"/>
  <c r="G51" i="4"/>
  <c r="F62" i="4"/>
  <c r="F64" i="4"/>
  <c r="F66" i="4"/>
  <c r="F68" i="4"/>
  <c r="N78" i="4"/>
  <c r="K79" i="4"/>
  <c r="H80" i="4"/>
  <c r="E81" i="4"/>
  <c r="B82" i="4"/>
  <c r="T82" i="4"/>
  <c r="Q83" i="4"/>
  <c r="N84" i="4"/>
  <c r="K85" i="4"/>
  <c r="H86" i="4"/>
  <c r="I8" i="4"/>
  <c r="I10" i="4"/>
  <c r="I12" i="4"/>
  <c r="I14" i="4"/>
  <c r="I16" i="4"/>
  <c r="I18" i="4"/>
  <c r="I20" i="4"/>
  <c r="I22" i="4"/>
  <c r="I24" i="4"/>
  <c r="I26" i="4"/>
  <c r="H31" i="4"/>
  <c r="H33" i="4"/>
  <c r="H35" i="4"/>
  <c r="H37" i="4"/>
  <c r="H39" i="4"/>
  <c r="H41" i="4"/>
  <c r="H43" i="4"/>
  <c r="H45" i="4"/>
  <c r="H47" i="4"/>
  <c r="H49" i="4"/>
  <c r="H51" i="4"/>
  <c r="G62" i="4"/>
  <c r="G64" i="4"/>
  <c r="G66" i="4"/>
  <c r="G68" i="4"/>
  <c r="O78" i="4"/>
  <c r="L79" i="4"/>
  <c r="I80" i="4"/>
  <c r="F81" i="4"/>
  <c r="C82" i="4"/>
  <c r="U82" i="4"/>
  <c r="R83" i="4"/>
  <c r="O84" i="4"/>
  <c r="L85" i="4"/>
  <c r="I86" i="4"/>
  <c r="H62" i="4"/>
  <c r="H64" i="4"/>
  <c r="H66" i="4"/>
  <c r="H68" i="4"/>
  <c r="P78" i="4"/>
  <c r="M79" i="4"/>
  <c r="J80" i="4"/>
  <c r="G81" i="4"/>
  <c r="D82" i="4"/>
  <c r="V82" i="4"/>
  <c r="S83" i="4"/>
  <c r="P84" i="4"/>
  <c r="M85" i="4"/>
  <c r="J86" i="4"/>
  <c r="I62" i="4"/>
  <c r="I64" i="4"/>
  <c r="I66" i="4"/>
  <c r="I68" i="4"/>
  <c r="Q78" i="4"/>
  <c r="N79" i="4"/>
  <c r="K80" i="4"/>
  <c r="H81" i="4"/>
  <c r="E82" i="4"/>
  <c r="B83" i="4"/>
  <c r="T83" i="4"/>
  <c r="Q84" i="4"/>
  <c r="N85" i="4"/>
  <c r="K86" i="4"/>
  <c r="J62" i="4"/>
  <c r="J64" i="4"/>
  <c r="J66" i="4"/>
  <c r="J68" i="4"/>
  <c r="R78" i="4"/>
  <c r="O79" i="4"/>
  <c r="L80" i="4"/>
  <c r="I81" i="4"/>
  <c r="F82" i="4"/>
  <c r="C83" i="4"/>
  <c r="U83" i="4"/>
  <c r="R84" i="4"/>
  <c r="O85" i="4"/>
  <c r="L86" i="4"/>
  <c r="D7" i="4"/>
  <c r="D9" i="4"/>
  <c r="D11" i="4"/>
  <c r="D13" i="4"/>
  <c r="D15" i="4"/>
  <c r="D17" i="4"/>
  <c r="D19" i="4"/>
  <c r="D21" i="4"/>
  <c r="D23" i="4"/>
  <c r="D25" i="4"/>
  <c r="C32" i="4"/>
  <c r="C34" i="4"/>
  <c r="C36" i="4"/>
  <c r="C38" i="4"/>
  <c r="C40" i="4"/>
  <c r="C42" i="4"/>
  <c r="C44" i="4"/>
  <c r="C46" i="4"/>
  <c r="C48" i="4"/>
  <c r="C50" i="4"/>
  <c r="B61" i="4"/>
  <c r="B63" i="4"/>
  <c r="B65" i="4"/>
  <c r="B67" i="4"/>
  <c r="B69" i="4"/>
  <c r="S78" i="4"/>
  <c r="P79" i="4"/>
  <c r="M80" i="4"/>
  <c r="G82" i="4"/>
  <c r="D83" i="4"/>
  <c r="V83" i="4"/>
  <c r="S84" i="4"/>
  <c r="P85" i="4"/>
  <c r="M86" i="4"/>
  <c r="C61" i="4"/>
  <c r="C63" i="4"/>
  <c r="C65" i="4"/>
  <c r="C67" i="4"/>
  <c r="C69" i="4"/>
  <c r="B78" i="4"/>
  <c r="T78" i="4"/>
  <c r="Q79" i="4"/>
  <c r="N80" i="4"/>
  <c r="K81" i="4"/>
  <c r="H82" i="4"/>
  <c r="E83" i="4"/>
  <c r="B84" i="4"/>
  <c r="T84" i="4"/>
  <c r="Q85" i="4"/>
  <c r="N86" i="4"/>
  <c r="F7" i="4"/>
  <c r="F9" i="4"/>
  <c r="F11" i="4"/>
  <c r="F13" i="4"/>
  <c r="F15" i="4"/>
  <c r="F17" i="4"/>
  <c r="F19" i="4"/>
  <c r="F21" i="4"/>
  <c r="F23" i="4"/>
  <c r="F25" i="4"/>
  <c r="E32" i="4"/>
  <c r="E34" i="4"/>
  <c r="E36" i="4"/>
  <c r="E38" i="4"/>
  <c r="E40" i="4"/>
  <c r="E42" i="4"/>
  <c r="E44" i="4"/>
  <c r="E46" i="4"/>
  <c r="E48" i="4"/>
  <c r="E50" i="4"/>
  <c r="D61" i="4"/>
  <c r="D63" i="4"/>
  <c r="D67" i="4"/>
  <c r="D69" i="4"/>
  <c r="C78" i="4"/>
  <c r="U78" i="4"/>
  <c r="R79" i="4"/>
  <c r="O80" i="4"/>
  <c r="L81" i="4"/>
  <c r="I82" i="4"/>
  <c r="F83" i="4"/>
  <c r="C84" i="4"/>
  <c r="U84" i="4"/>
  <c r="R85" i="4"/>
  <c r="O86" i="4"/>
  <c r="E61" i="4"/>
  <c r="E63" i="4"/>
  <c r="E65" i="4"/>
  <c r="E67" i="4"/>
  <c r="E69" i="4"/>
  <c r="D78" i="4"/>
  <c r="V78" i="4"/>
  <c r="S79" i="4"/>
  <c r="P80" i="4"/>
  <c r="M81" i="4"/>
  <c r="G83" i="4"/>
  <c r="D84" i="4"/>
  <c r="V84" i="4"/>
  <c r="S85" i="4"/>
  <c r="P86" i="4"/>
  <c r="H7" i="4"/>
  <c r="H9" i="4"/>
  <c r="H11" i="4"/>
  <c r="H13" i="4"/>
  <c r="H15" i="4"/>
  <c r="H17" i="4"/>
  <c r="H19" i="4"/>
  <c r="H21" i="4"/>
  <c r="H23" i="4"/>
  <c r="H25" i="4"/>
  <c r="G32" i="4"/>
  <c r="G34" i="4"/>
  <c r="G36" i="4"/>
  <c r="G38" i="4"/>
  <c r="G40" i="4"/>
  <c r="G42" i="4"/>
  <c r="G44" i="4"/>
  <c r="G46" i="4"/>
  <c r="G48" i="4"/>
  <c r="G50" i="4"/>
  <c r="F61" i="4"/>
  <c r="F63" i="4"/>
  <c r="F65" i="4"/>
  <c r="F67" i="4"/>
  <c r="F69" i="4"/>
  <c r="E78" i="4"/>
  <c r="B79" i="4"/>
  <c r="T79" i="4"/>
  <c r="Q80" i="4"/>
  <c r="N81" i="4"/>
  <c r="K82" i="4"/>
  <c r="H83" i="4"/>
  <c r="E84" i="4"/>
  <c r="B85" i="4"/>
  <c r="T85" i="4"/>
  <c r="Q86" i="4"/>
  <c r="I7" i="4"/>
  <c r="I9" i="4"/>
  <c r="I11" i="4"/>
  <c r="I13" i="4"/>
  <c r="I15" i="4"/>
  <c r="I17" i="4"/>
  <c r="I19" i="4"/>
  <c r="I21" i="4"/>
  <c r="I23" i="4"/>
  <c r="I25" i="4"/>
  <c r="H32" i="4"/>
  <c r="H34" i="4"/>
  <c r="H36" i="4"/>
  <c r="H38" i="4"/>
  <c r="H40" i="4"/>
  <c r="H42" i="4"/>
  <c r="H44" i="4"/>
  <c r="H46" i="4"/>
  <c r="H48" i="4"/>
  <c r="H50" i="4"/>
  <c r="G61" i="4"/>
  <c r="G63" i="4"/>
  <c r="G65" i="4"/>
  <c r="G67" i="4"/>
  <c r="G69" i="4"/>
  <c r="F78" i="4"/>
  <c r="C79" i="4"/>
  <c r="U79" i="4"/>
  <c r="R80" i="4"/>
  <c r="O81" i="4"/>
  <c r="L82" i="4"/>
  <c r="I83" i="4"/>
  <c r="F84" i="4"/>
  <c r="C85" i="4"/>
  <c r="U85" i="4"/>
  <c r="R86" i="4"/>
  <c r="J7" i="4"/>
  <c r="J9" i="4"/>
  <c r="J11" i="4"/>
  <c r="J13" i="4"/>
  <c r="J15" i="4"/>
  <c r="J17" i="4"/>
  <c r="J19" i="4"/>
  <c r="J21" i="4"/>
  <c r="J23" i="4"/>
  <c r="J25" i="4"/>
  <c r="I32" i="4"/>
  <c r="I34" i="4"/>
  <c r="I36" i="4"/>
  <c r="I38" i="4"/>
  <c r="I40" i="4"/>
  <c r="I42" i="4"/>
  <c r="I44" i="4"/>
  <c r="I46" i="4"/>
  <c r="I48" i="4"/>
  <c r="I50" i="4"/>
  <c r="H61" i="4"/>
  <c r="H63" i="4"/>
  <c r="H65" i="4"/>
  <c r="H67" i="4"/>
  <c r="H69" i="4"/>
  <c r="G78" i="4"/>
  <c r="D79" i="4"/>
  <c r="V79" i="4"/>
  <c r="S80" i="4"/>
  <c r="P81" i="4"/>
  <c r="M82" i="4"/>
  <c r="J83" i="4"/>
  <c r="G84" i="4"/>
  <c r="D85" i="4"/>
  <c r="V85" i="4"/>
  <c r="S86" i="4"/>
  <c r="B6" i="4"/>
  <c r="B8" i="4"/>
  <c r="B10" i="4"/>
  <c r="B12" i="4"/>
  <c r="B14" i="4"/>
  <c r="B16" i="4"/>
  <c r="B18" i="4"/>
  <c r="B20" i="4"/>
  <c r="B22" i="4"/>
  <c r="B24" i="4"/>
  <c r="B26" i="4"/>
  <c r="J32" i="4"/>
  <c r="J34" i="4"/>
  <c r="J36" i="4"/>
  <c r="J38" i="4"/>
  <c r="J40" i="4"/>
  <c r="J42" i="4"/>
  <c r="J44" i="4"/>
  <c r="J46" i="4"/>
  <c r="J48" i="4"/>
  <c r="J50" i="4"/>
  <c r="I61" i="4"/>
  <c r="I63" i="4"/>
  <c r="I65" i="4"/>
  <c r="I67" i="4"/>
  <c r="I69" i="4"/>
  <c r="H78" i="4"/>
  <c r="E79" i="4"/>
  <c r="B80" i="4"/>
  <c r="T80" i="4"/>
  <c r="Q81" i="4"/>
  <c r="N82" i="4"/>
  <c r="K83" i="4"/>
  <c r="H84" i="4"/>
  <c r="E85" i="4"/>
  <c r="B86" i="4"/>
  <c r="T86" i="4"/>
  <c r="J61" i="4"/>
  <c r="J63" i="4"/>
  <c r="J65" i="4"/>
  <c r="J67" i="4"/>
  <c r="J69" i="4"/>
  <c r="I78" i="4"/>
  <c r="F79" i="4"/>
  <c r="C80" i="4"/>
  <c r="U80" i="4"/>
  <c r="R81" i="4"/>
  <c r="O82" i="4"/>
  <c r="L83" i="4"/>
  <c r="I84" i="4"/>
  <c r="F85" i="4"/>
  <c r="C86" i="4"/>
  <c r="U86" i="4"/>
  <c r="J78" i="4"/>
  <c r="G79" i="4"/>
  <c r="D80" i="4"/>
  <c r="V80" i="4"/>
  <c r="S81" i="4"/>
  <c r="P82" i="4"/>
  <c r="M83" i="4"/>
  <c r="G85" i="4"/>
  <c r="D86" i="4"/>
</calcChain>
</file>

<file path=xl/sharedStrings.xml><?xml version="1.0" encoding="utf-8"?>
<sst xmlns="http://schemas.openxmlformats.org/spreadsheetml/2006/main" count="104" uniqueCount="85">
  <si>
    <t>비육돈 출하 손익 시뮬레이션 (평균체중 105~125kg)</t>
  </si>
  <si>
    <t>※ 돈가·지육율·지급율·생산원가·편도거리·두수 등은 [기준값] 시트의 파란 글씨 셀에서 조정하면 이 표 전체가 자동 재계산됩니다.</t>
  </si>
  <si>
    <t>평균체중</t>
  </si>
  <si>
    <t>두당 출하대금</t>
  </si>
  <si>
    <t>지급조건</t>
  </si>
  <si>
    <t>지급률</t>
  </si>
  <si>
    <t>두당 운반비</t>
  </si>
  <si>
    <t>총 운반비</t>
  </si>
  <si>
    <t>두당 총원가</t>
  </si>
  <si>
    <t>두당 순수익</t>
  </si>
  <si>
    <t>전체 손익</t>
  </si>
  <si>
    <t>※ 음영 처리된 행(113kg)은 정책 기준체중입니다. 순수익이 음수(적자)인 셀은 빨간색으로 표시됩니다.</t>
  </si>
  <si>
    <t>산정 기준값</t>
  </si>
  <si>
    <t>※ 파란 글씨 셀만 수정하세요. 검은 글씨(수식)·녹색 글씨(다른 시트 참조)는 건드리지 않아도 자동 계산됩니다.</t>
  </si>
  <si>
    <t>항목</t>
  </si>
  <si>
    <t>값</t>
  </si>
  <si>
    <t>비고</t>
  </si>
  <si>
    <t>돈가 (원/kg, 지육 기준)</t>
  </si>
  <si>
    <t>사용자 제공값</t>
  </si>
  <si>
    <t>지육율</t>
  </si>
  <si>
    <t>사용자 제공값 (77.5%)</t>
  </si>
  <si>
    <t>지급율</t>
  </si>
  <si>
    <t>사용자 제공값 (77%)</t>
  </si>
  <si>
    <t>두당 정산단가 (원/kg, 생체중 환산)</t>
  </si>
  <si>
    <t>돈가 × 지육율 × 지급율</t>
  </si>
  <si>
    <t>두당 생산원가 (원/두, 운반비 제외)</t>
  </si>
  <si>
    <t>편도거리 (km)</t>
  </si>
  <si>
    <t>예시값 — 실제 거리로 수정</t>
  </si>
  <si>
    <t>기본운반비 (원)</t>
  </si>
  <si>
    <r>
      <rPr>
        <i/>
        <sz val="9"/>
        <color rgb="FF726A58"/>
        <rFont val="Arial"/>
        <family val="2"/>
        <charset val="1"/>
      </rPr>
      <t>[</t>
    </r>
    <r>
      <rPr>
        <i/>
        <sz val="9"/>
        <color rgb="FF726A58"/>
        <rFont val="WenQuanYi Zen Hei"/>
        <family val="2"/>
      </rPr>
      <t>거리구간표</t>
    </r>
    <r>
      <rPr>
        <i/>
        <sz val="9"/>
        <color rgb="FF726A58"/>
        <rFont val="Arial"/>
        <family val="2"/>
        <charset val="1"/>
      </rPr>
      <t xml:space="preserve">] </t>
    </r>
    <r>
      <rPr>
        <i/>
        <sz val="9"/>
        <color rgb="FF726A58"/>
        <rFont val="WenQuanYi Zen Hei"/>
        <family val="2"/>
      </rPr>
      <t xml:space="preserve">시트의 </t>
    </r>
    <r>
      <rPr>
        <i/>
        <sz val="9"/>
        <color rgb="FF726A58"/>
        <rFont val="Arial"/>
        <family val="2"/>
        <charset val="1"/>
      </rPr>
      <t>'</t>
    </r>
    <r>
      <rPr>
        <i/>
        <sz val="9"/>
        <color rgb="FF726A58"/>
        <rFont val="WenQuanYi Zen Hei"/>
        <family val="2"/>
      </rPr>
      <t>개정 지급액</t>
    </r>
    <r>
      <rPr>
        <i/>
        <sz val="9"/>
        <color rgb="FF726A58"/>
        <rFont val="Arial"/>
        <family val="2"/>
        <charset val="1"/>
      </rPr>
      <t>'</t>
    </r>
    <r>
      <rPr>
        <i/>
        <sz val="9"/>
        <color rgb="FF726A58"/>
        <rFont val="WenQuanYi Zen Hei"/>
        <family val="2"/>
      </rPr>
      <t>을 자동 조회</t>
    </r>
  </si>
  <si>
    <t>최소 상차두수 (기준)</t>
  </si>
  <si>
    <t>이전 대화에서 정한 정책기준</t>
  </si>
  <si>
    <t>인센티브 두수기준 (이상)</t>
  </si>
  <si>
    <t>기준 체중 (kg)</t>
  </si>
  <si>
    <t>인센티브 지급률</t>
  </si>
  <si>
    <t>기본운반비 대비 +10%</t>
  </si>
  <si>
    <t>패널티 지급률</t>
  </si>
  <si>
    <t>기본운반비 대비 -10%</t>
  </si>
  <si>
    <t>기본 지급률</t>
  </si>
  <si>
    <t>조건 미해당 시 100% 유지</t>
  </si>
  <si>
    <t>두수 시나리오 A (30~59두 구간 예시)</t>
  </si>
  <si>
    <r>
      <rPr>
        <i/>
        <sz val="9"/>
        <color rgb="FF726A58"/>
        <rFont val="Arial"/>
        <family val="2"/>
        <charset val="1"/>
      </rPr>
      <t>[</t>
    </r>
    <r>
      <rPr>
        <i/>
        <sz val="9"/>
        <color rgb="FF726A58"/>
        <rFont val="WenQuanYi Zen Hei"/>
        <family val="2"/>
      </rPr>
      <t>체중별</t>
    </r>
    <r>
      <rPr>
        <i/>
        <sz val="9"/>
        <color rgb="FF726A58"/>
        <rFont val="Arial"/>
        <family val="2"/>
        <charset val="1"/>
      </rPr>
      <t>_</t>
    </r>
    <r>
      <rPr>
        <i/>
        <sz val="9"/>
        <color rgb="FF726A58"/>
        <rFont val="WenQuanYi Zen Hei"/>
        <family val="2"/>
      </rPr>
      <t>손익표</t>
    </r>
    <r>
      <rPr>
        <i/>
        <sz val="9"/>
        <color rgb="FF726A58"/>
        <rFont val="Arial"/>
        <family val="2"/>
        <charset val="1"/>
      </rPr>
      <t xml:space="preserve">] </t>
    </r>
    <r>
      <rPr>
        <i/>
        <sz val="9"/>
        <color rgb="FF726A58"/>
        <rFont val="WenQuanYi Zen Hei"/>
        <family val="2"/>
      </rPr>
      <t>블록① 두수</t>
    </r>
  </si>
  <si>
    <t>두수 시나리오 B (60두 이상 구간 예시)</t>
  </si>
  <si>
    <r>
      <rPr>
        <i/>
        <sz val="9"/>
        <color rgb="FF726A58"/>
        <rFont val="Arial"/>
        <family val="2"/>
        <charset val="1"/>
      </rPr>
      <t>[</t>
    </r>
    <r>
      <rPr>
        <i/>
        <sz val="9"/>
        <color rgb="FF726A58"/>
        <rFont val="WenQuanYi Zen Hei"/>
        <family val="2"/>
      </rPr>
      <t>체중별</t>
    </r>
    <r>
      <rPr>
        <i/>
        <sz val="9"/>
        <color rgb="FF726A58"/>
        <rFont val="Arial"/>
        <family val="2"/>
        <charset val="1"/>
      </rPr>
      <t>_</t>
    </r>
    <r>
      <rPr>
        <i/>
        <sz val="9"/>
        <color rgb="FF726A58"/>
        <rFont val="WenQuanYi Zen Hei"/>
        <family val="2"/>
      </rPr>
      <t>손익표</t>
    </r>
    <r>
      <rPr>
        <i/>
        <sz val="9"/>
        <color rgb="FF726A58"/>
        <rFont val="Arial"/>
        <family val="2"/>
        <charset val="1"/>
      </rPr>
      <t xml:space="preserve">] </t>
    </r>
    <r>
      <rPr>
        <i/>
        <sz val="9"/>
        <color rgb="FF726A58"/>
        <rFont val="WenQuanYi Zen Hei"/>
        <family val="2"/>
      </rPr>
      <t>블록② 두수</t>
    </r>
  </si>
  <si>
    <t>가정 및 참고사항</t>
  </si>
  <si>
    <t>• 경유가·거리구간 기본운반비는 이전 대화에서 산출한 값을 그대로 사용했습니다 (최근 1년 평균 경유가 약 1,730원/L 추정 기준, 오피넷 주간자료 기반).</t>
  </si>
  <si>
    <t>• 두당 정산단가 공식(돈가×지육율×지급율)은 지육 기준 돈가를 생체중 기준으로 환산하는 일반적 방식을 가정한 것으로, 실제 계열화 업체 정산 방식과 다를 수 있습니다.</t>
  </si>
  <si>
    <t>• 두당 생산원가 410,000원은 체중과 무관한 고정값으로 가정했고, 여기에 두당 운반비를 더해 '두당 총원가'로 손익을 계산합니다.</t>
  </si>
  <si>
    <r>
      <rPr>
        <i/>
        <sz val="9"/>
        <color rgb="FF726A58"/>
        <rFont val="Arial"/>
        <family val="2"/>
        <charset val="1"/>
      </rPr>
      <t xml:space="preserve">• 301km </t>
    </r>
    <r>
      <rPr>
        <i/>
        <sz val="9"/>
        <color rgb="FF726A58"/>
        <rFont val="WenQuanYi Zen Hei"/>
        <family val="2"/>
      </rPr>
      <t xml:space="preserve">이상 구간은 </t>
    </r>
    <r>
      <rPr>
        <i/>
        <sz val="9"/>
        <color rgb="FF726A58"/>
        <rFont val="Arial"/>
        <family val="2"/>
        <charset val="1"/>
      </rPr>
      <t>40km</t>
    </r>
    <r>
      <rPr>
        <i/>
        <sz val="9"/>
        <color rgb="FF726A58"/>
        <rFont val="WenQuanYi Zen Hei"/>
        <family val="2"/>
      </rPr>
      <t xml:space="preserve">마다 </t>
    </r>
    <r>
      <rPr>
        <i/>
        <sz val="9"/>
        <color rgb="FF726A58"/>
        <rFont val="Arial"/>
        <family val="2"/>
        <charset val="1"/>
      </rPr>
      <t>+50,000</t>
    </r>
    <r>
      <rPr>
        <i/>
        <sz val="9"/>
        <color rgb="FF726A58"/>
        <rFont val="WenQuanYi Zen Hei"/>
        <family val="2"/>
      </rPr>
      <t xml:space="preserve">원을 가산하는 규칙을 </t>
    </r>
    <r>
      <rPr>
        <i/>
        <sz val="9"/>
        <color rgb="FF726A58"/>
        <rFont val="Arial"/>
        <family val="2"/>
        <charset val="1"/>
      </rPr>
      <t>500km</t>
    </r>
    <r>
      <rPr>
        <i/>
        <sz val="9"/>
        <color rgb="FF726A58"/>
        <rFont val="WenQuanYi Zen Hei"/>
        <family val="2"/>
      </rPr>
      <t xml:space="preserve">까지 표로 확장했습니다 </t>
    </r>
    <r>
      <rPr>
        <i/>
        <sz val="9"/>
        <color rgb="FF726A58"/>
        <rFont val="Arial"/>
        <family val="2"/>
        <charset val="1"/>
      </rPr>
      <t>([</t>
    </r>
    <r>
      <rPr>
        <i/>
        <sz val="9"/>
        <color rgb="FF726A58"/>
        <rFont val="WenQuanYi Zen Hei"/>
        <family val="2"/>
      </rPr>
      <t>거리구간표</t>
    </r>
    <r>
      <rPr>
        <i/>
        <sz val="9"/>
        <color rgb="FF726A58"/>
        <rFont val="Arial"/>
        <family val="2"/>
        <charset val="1"/>
      </rPr>
      <t xml:space="preserve">] </t>
    </r>
    <r>
      <rPr>
        <i/>
        <sz val="9"/>
        <color rgb="FF726A58"/>
        <rFont val="WenQuanYi Zen Hei"/>
        <family val="2"/>
      </rPr>
      <t>시트 참고</t>
    </r>
    <r>
      <rPr>
        <i/>
        <sz val="9"/>
        <color rgb="FF726A58"/>
        <rFont val="Arial"/>
        <family val="2"/>
        <charset val="1"/>
      </rPr>
      <t xml:space="preserve">). </t>
    </r>
    <r>
      <rPr>
        <i/>
        <sz val="9"/>
        <color rgb="FF726A58"/>
        <rFont val="WenQuanYi Zen Hei"/>
        <family val="2"/>
      </rPr>
      <t>그 이상 거리는 동일 규칙을 계속 적용하면 됩니다</t>
    </r>
    <r>
      <rPr>
        <i/>
        <sz val="9"/>
        <color rgb="FF726A58"/>
        <rFont val="Arial"/>
        <family val="2"/>
        <charset val="1"/>
      </rPr>
      <t>.</t>
    </r>
  </si>
  <si>
    <t>거리구간별 운반비 (기존 vs 개정)</t>
  </si>
  <si>
    <r>
      <rPr>
        <i/>
        <sz val="9"/>
        <color rgb="FF726A58"/>
        <rFont val="Arial"/>
        <family val="2"/>
        <charset val="1"/>
      </rPr>
      <t>※ [</t>
    </r>
    <r>
      <rPr>
        <i/>
        <sz val="9"/>
        <color rgb="FF726A58"/>
        <rFont val="WenQuanYi Zen Hei"/>
        <family val="2"/>
      </rPr>
      <t>기준값</t>
    </r>
    <r>
      <rPr>
        <i/>
        <sz val="9"/>
        <color rgb="FF726A58"/>
        <rFont val="Arial"/>
        <family val="2"/>
        <charset val="1"/>
      </rPr>
      <t xml:space="preserve">] </t>
    </r>
    <r>
      <rPr>
        <i/>
        <sz val="9"/>
        <color rgb="FF726A58"/>
        <rFont val="WenQuanYi Zen Hei"/>
        <family val="2"/>
      </rPr>
      <t xml:space="preserve">시트의 편도거리 입력값은 이 표의 </t>
    </r>
    <r>
      <rPr>
        <i/>
        <sz val="9"/>
        <color rgb="FF726A58"/>
        <rFont val="Arial"/>
        <family val="2"/>
        <charset val="1"/>
      </rPr>
      <t>'</t>
    </r>
    <r>
      <rPr>
        <i/>
        <sz val="9"/>
        <color rgb="FF726A58"/>
        <rFont val="WenQuanYi Zen Hei"/>
        <family val="2"/>
      </rPr>
      <t>개정 지급액</t>
    </r>
    <r>
      <rPr>
        <i/>
        <sz val="9"/>
        <color rgb="FF726A58"/>
        <rFont val="Arial"/>
        <family val="2"/>
        <charset val="1"/>
      </rPr>
      <t>'(D</t>
    </r>
    <r>
      <rPr>
        <i/>
        <sz val="9"/>
        <color rgb="FF726A58"/>
        <rFont val="WenQuanYi Zen Hei"/>
        <family val="2"/>
      </rPr>
      <t>열</t>
    </r>
    <r>
      <rPr>
        <i/>
        <sz val="9"/>
        <color rgb="FF726A58"/>
        <rFont val="Arial"/>
        <family val="2"/>
        <charset val="1"/>
      </rPr>
      <t>)</t>
    </r>
    <r>
      <rPr>
        <i/>
        <sz val="9"/>
        <color rgb="FF726A58"/>
        <rFont val="WenQuanYi Zen Hei"/>
        <family val="2"/>
      </rPr>
      <t>을 자동 조회합니다</t>
    </r>
    <r>
      <rPr>
        <i/>
        <sz val="9"/>
        <color rgb="FF726A58"/>
        <rFont val="Arial"/>
        <family val="2"/>
        <charset val="1"/>
      </rPr>
      <t xml:space="preserve">. </t>
    </r>
    <r>
      <rPr>
        <i/>
        <sz val="9"/>
        <color rgb="FF726A58"/>
        <rFont val="WenQuanYi Zen Hei"/>
        <family val="2"/>
      </rPr>
      <t>신설 구간은 음영 표시했습니다</t>
    </r>
    <r>
      <rPr>
        <i/>
        <sz val="9"/>
        <color rgb="FF726A58"/>
        <rFont val="Arial"/>
        <family val="2"/>
        <charset val="1"/>
      </rPr>
      <t>.</t>
    </r>
  </si>
  <si>
    <t>구간</t>
  </si>
  <si>
    <t>하한거리(km)</t>
  </si>
  <si>
    <t>기존 지급액(원)</t>
  </si>
  <si>
    <t>개정 지급액(원)</t>
  </si>
  <si>
    <t>증감</t>
  </si>
  <si>
    <t>~40km</t>
  </si>
  <si>
    <t>유지</t>
  </si>
  <si>
    <t>41~80km</t>
  </si>
  <si>
    <t>81~120km</t>
  </si>
  <si>
    <t>121~150km</t>
  </si>
  <si>
    <t>151~180km</t>
  </si>
  <si>
    <t>181~220km</t>
  </si>
  <si>
    <t>221~260km</t>
  </si>
  <si>
    <t>261~300km</t>
  </si>
  <si>
    <t>301~340km</t>
  </si>
  <si>
    <r>
      <rPr>
        <i/>
        <sz val="9"/>
        <color rgb="FF726A58"/>
        <rFont val="Arial"/>
        <family val="2"/>
        <charset val="1"/>
      </rPr>
      <t xml:space="preserve">301km~ </t>
    </r>
    <r>
      <rPr>
        <i/>
        <sz val="9"/>
        <color rgb="FF726A58"/>
        <rFont val="WenQuanYi Zen Hei"/>
        <family val="2"/>
      </rPr>
      <t>규칙</t>
    </r>
    <r>
      <rPr>
        <i/>
        <sz val="9"/>
        <color rgb="FF726A58"/>
        <rFont val="Arial"/>
        <family val="2"/>
        <charset val="1"/>
      </rPr>
      <t>: 40km</t>
    </r>
    <r>
      <rPr>
        <i/>
        <sz val="9"/>
        <color rgb="FF726A58"/>
        <rFont val="WenQuanYi Zen Hei"/>
        <family val="2"/>
      </rPr>
      <t xml:space="preserve">마다 </t>
    </r>
    <r>
      <rPr>
        <i/>
        <sz val="9"/>
        <color rgb="FF726A58"/>
        <rFont val="Arial"/>
        <family val="2"/>
        <charset val="1"/>
      </rPr>
      <t>+50,000</t>
    </r>
  </si>
  <si>
    <t>341~380km</t>
  </si>
  <si>
    <t>상동</t>
  </si>
  <si>
    <t>381~420km</t>
  </si>
  <si>
    <t>421~460km</t>
  </si>
  <si>
    <t>461~500km</t>
  </si>
  <si>
    <t>상동 (500km 초과 시 동일 규칙 계속 적용)</t>
  </si>
  <si>
    <t>• 이전 대화에서 산정한 운반비 개편안을 그대로 옮긴 표입니다: 151km 이상 구간을 4단계로 세분화하고, 301km 이상은 40km마다 +50,000원을 가산하는 규칙을 적용했습니다.</t>
  </si>
  <si>
    <t>• 가산폭(40km당 +50,000원)의 근거: 대형 가축운반차 평균연비 약 3.0km/L, 최근 1년 평균 경유가 약 1,730원/L 추정 시 편도 40km 확장에 따른 왕복 유류비 증가분이 약 46,000원입니다.</t>
  </si>
  <si>
    <t>거리구간별 × 체중별 두당 순수익 매트릭스</t>
  </si>
  <si>
    <t>※ 값 = 두당 순수익(원) = 체중×정산단가 − 생산원가 − 두당운반비. 거리구간·기준값을 바꾸면 자동 재계산됩니다. 구간은 [거리구간표] 시트의 ~40km부터 301~340km까지 9개(그 이상은 동일 규칙 적용).</t>
  </si>
  <si>
    <t>평균체중\거리구간</t>
  </si>
  <si>
    <t>※ 음영 처리된 행(113kg)은 정책 기준체중입니다. 붉은색에 가까울수록 적자, 초록색에 가까울수록 흑자입니다.</t>
  </si>
  <si>
    <t>※ 값 = 두당 순수익(원). 두수가 기준값!B11(최소 상차두수) 미만이면 "-"로 표시됩니다(운송 자체가 불가). 체중은 정책 기준체중으로 고정해, 상차두수 변화가 손익에 미치는 영향만 분리해서 보여줍니다.</t>
  </si>
  <si>
    <t>상차두수\거리구간</t>
  </si>
  <si>
    <t>※ 음영 처리된 행(30두·60두)은 정책 기준두수입니다(최소 상차두수·인센티브 두수기준). 빨간색에 가까울수록 적자, 초록색에 가까울수록 흑자입니다.</t>
  </si>
  <si>
    <t>※ 값 = 두당 순수익(원). 두수가 기준값!B11(최소 상차두수) 미만이면 "-"로 표시됩니다. 거리(두당 운반비의 기준 금액)는 [기준값] 시트의 현재 편도거리 설정값으로 고정됩니다.</t>
  </si>
  <si>
    <t>상차두수\평균체중</t>
  </si>
  <si>
    <t>※ 음영 처리된 행(30두·60두)은 정책 기준두수입니다. 113kg 열은 정책 기준체중입니다. 빨간색에 가까울수록 적자, 초록색에 가까울수록 흑자입니다.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</si>
</sst>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&quot;kg&quot;"/>
    <numFmt numFmtId="177" formatCode="#,##0;[Red]\-#,##0;\-"/>
    <numFmt numFmtId="178" formatCode="0%;[Red]\-0%;\-"/>
    <numFmt numFmtId="179" formatCode="0.0%"/>
    <numFmt numFmtId="180" formatCode="0&quot;두&quot;"/>
  </numFmts>
  <fonts count="15">
    <font>
      <sz val="11"/>
      <color theme="1"/>
      <name val="Calibri"/>
      <family val="2"/>
      <charset val="1"/>
    </font>
    <font>
      <b/>
      <sz val="14"/>
      <color rgb="FF2B2620"/>
      <name val="WenQuanYi Zen Hei"/>
      <family val="2"/>
      <charset val="1"/>
    </font>
    <font>
      <i/>
      <sz val="9"/>
      <color rgb="FF726A58"/>
      <name val="WenQuanYi Zen Hei"/>
      <family val="2"/>
      <charset val="1"/>
    </font>
    <font>
      <b/>
      <sz val="10"/>
      <color rgb="FF8A4118"/>
      <name val="WenQuanYi Zen Hei"/>
      <family val="2"/>
      <charset val="1"/>
    </font>
    <font>
      <b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2B2620"/>
      <name val="WenQuanYi Zen Hei"/>
      <family val="2"/>
      <charset val="1"/>
    </font>
    <font>
      <sz val="10"/>
      <color rgb="FF0000FF"/>
      <name val="Arial"/>
      <family val="2"/>
      <charset val="1"/>
    </font>
    <font>
      <i/>
      <sz val="9"/>
      <color rgb="FF726A58"/>
      <name val="Arial"/>
      <family val="2"/>
      <charset val="1"/>
    </font>
    <font>
      <i/>
      <sz val="9"/>
      <color rgb="FF726A58"/>
      <name val="WenQuanYi Zen Hei"/>
      <family val="2"/>
    </font>
    <font>
      <b/>
      <sz val="11"/>
      <color rgb="FF8A4118"/>
      <name val="WenQuanYi Zen Hei"/>
      <family val="2"/>
      <charset val="1"/>
    </font>
    <font>
      <sz val="10"/>
      <color rgb="FF2B2620"/>
      <name val="Arial"/>
      <family val="2"/>
      <charset val="1"/>
    </font>
    <font>
      <b/>
      <sz val="10"/>
      <color rgb="FF2B2620"/>
      <name val="Arial"/>
      <family val="2"/>
      <charset val="1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0DEC8"/>
        <bgColor rgb="FFD9CFB8"/>
      </patternFill>
    </fill>
    <fill>
      <patternFill patternType="solid">
        <fgColor rgb="FFB85A29"/>
        <bgColor rgb="FFA0453A"/>
      </patternFill>
    </fill>
    <fill>
      <patternFill patternType="solid">
        <fgColor rgb="FFFBF6EC"/>
        <bgColor rgb="FFFFFDE0"/>
      </patternFill>
    </fill>
    <fill>
      <patternFill patternType="solid">
        <fgColor rgb="FFFFFDE0"/>
        <bgColor rgb="FFFBF6EC"/>
      </patternFill>
    </fill>
  </fills>
  <borders count="2">
    <border>
      <left/>
      <right/>
      <top/>
      <bottom/>
      <diagonal/>
    </border>
    <border>
      <left style="thin">
        <color rgb="FFD9CFB8"/>
      </left>
      <right style="thin">
        <color rgb="FFD9CFB8"/>
      </right>
      <top style="thin">
        <color rgb="FFD9CFB8"/>
      </top>
      <bottom style="thin">
        <color rgb="FFD9CF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4" fillId="3" borderId="1" xfId="0" applyFont="1" applyFill="1" applyBorder="1" applyAlignment="1">
      <alignment horizontal="center" wrapText="1"/>
    </xf>
    <xf numFmtId="176" fontId="0" fillId="0" borderId="1" xfId="0" applyNumberFormat="1" applyBorder="1" applyAlignment="1">
      <alignment horizontal="center"/>
    </xf>
    <xf numFmtId="177" fontId="5" fillId="0" borderId="1" xfId="0" applyNumberFormat="1" applyFont="1" applyBorder="1" applyAlignment="1"/>
    <xf numFmtId="0" fontId="6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177" fontId="5" fillId="4" borderId="1" xfId="0" applyNumberFormat="1" applyFont="1" applyFill="1" applyBorder="1" applyAlignment="1"/>
    <xf numFmtId="0" fontId="6" fillId="4" borderId="1" xfId="0" applyFont="1" applyFill="1" applyBorder="1" applyAlignment="1">
      <alignment horizontal="center"/>
    </xf>
    <xf numFmtId="178" fontId="5" fillId="4" borderId="1" xfId="0" applyNumberFormat="1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7" fontId="5" fillId="2" borderId="1" xfId="0" applyNumberFormat="1" applyFont="1" applyFill="1" applyBorder="1" applyAlignment="1"/>
    <xf numFmtId="0" fontId="6" fillId="2" borderId="1" xfId="0" applyFont="1" applyFill="1" applyBorder="1" applyAlignment="1">
      <alignment horizontal="center"/>
    </xf>
    <xf numFmtId="178" fontId="5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/>
    <xf numFmtId="0" fontId="7" fillId="0" borderId="1" xfId="0" applyFont="1" applyBorder="1" applyAlignment="1"/>
    <xf numFmtId="177" fontId="8" fillId="5" borderId="1" xfId="0" applyNumberFormat="1" applyFont="1" applyFill="1" applyBorder="1" applyAlignment="1"/>
    <xf numFmtId="0" fontId="2" fillId="0" borderId="1" xfId="0" applyFont="1" applyBorder="1" applyAlignment="1"/>
    <xf numFmtId="179" fontId="8" fillId="5" borderId="1" xfId="0" applyNumberFormat="1" applyFont="1" applyFill="1" applyBorder="1" applyAlignment="1"/>
    <xf numFmtId="0" fontId="9" fillId="0" borderId="1" xfId="0" applyFont="1" applyBorder="1" applyAlignment="1"/>
    <xf numFmtId="0" fontId="11" fillId="0" borderId="0" xfId="0" applyFont="1" applyAlignment="1"/>
    <xf numFmtId="0" fontId="9" fillId="0" borderId="0" xfId="0" applyFont="1" applyAlignment="1"/>
    <xf numFmtId="0" fontId="4" fillId="3" borderId="1" xfId="0" applyFont="1" applyFill="1" applyBorder="1" applyAlignment="1">
      <alignment horizontal="center"/>
    </xf>
    <xf numFmtId="0" fontId="12" fillId="0" borderId="1" xfId="0" applyFont="1" applyBorder="1" applyAlignment="1"/>
    <xf numFmtId="0" fontId="5" fillId="0" borderId="1" xfId="0" applyFont="1" applyBorder="1" applyAlignment="1"/>
    <xf numFmtId="177" fontId="13" fillId="0" borderId="1" xfId="0" applyNumberFormat="1" applyFont="1" applyBorder="1" applyAlignment="1"/>
    <xf numFmtId="0" fontId="12" fillId="2" borderId="1" xfId="0" applyFont="1" applyFill="1" applyBorder="1" applyAlignment="1"/>
    <xf numFmtId="0" fontId="5" fillId="2" borderId="1" xfId="0" applyFont="1" applyFill="1" applyBorder="1" applyAlignment="1"/>
    <xf numFmtId="177" fontId="13" fillId="2" borderId="1" xfId="0" applyNumberFormat="1" applyFont="1" applyFill="1" applyBorder="1" applyAlignment="1"/>
    <xf numFmtId="0" fontId="9" fillId="2" borderId="1" xfId="0" applyFont="1" applyFill="1" applyBorder="1" applyAlignment="1"/>
    <xf numFmtId="0" fontId="2" fillId="2" borderId="1" xfId="0" applyFont="1" applyFill="1" applyBorder="1" applyAlignment="1"/>
    <xf numFmtId="176" fontId="5" fillId="0" borderId="1" xfId="0" applyNumberFormat="1" applyFont="1" applyBorder="1" applyAlignment="1">
      <alignment horizontal="center"/>
    </xf>
    <xf numFmtId="176" fontId="5" fillId="2" borderId="1" xfId="0" applyNumberFormat="1" applyFont="1" applyFill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180" fontId="5" fillId="2" borderId="1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 wrapText="1"/>
    </xf>
    <xf numFmtId="176" fontId="4" fillId="2" borderId="1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</cellXfs>
  <cellStyles count="1">
    <cellStyle name="표준" xfId="0" builtinId="0"/>
  </cellStyles>
  <dxfs count="5">
    <dxf>
      <font>
        <b/>
        <sz val="10"/>
        <color rgb="FF8A4118"/>
        <name val="Arial"/>
        <charset val="1"/>
      </font>
    </dxf>
    <dxf>
      <font>
        <sz val="10"/>
        <color rgb="FF43704A"/>
        <name val="Arial"/>
        <charset val="1"/>
      </font>
    </dxf>
    <dxf>
      <font>
        <sz val="10"/>
        <color rgb="FFA0453A"/>
        <name val="Arial"/>
        <charset val="1"/>
      </font>
    </dxf>
    <dxf>
      <font>
        <sz val="10"/>
        <color rgb="FF43704A"/>
        <name val="Arial"/>
        <charset val="1"/>
      </font>
    </dxf>
    <dxf>
      <font>
        <sz val="10"/>
        <color rgb="FFA0453A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B8"/>
      <rgbColor rgb="FF808080"/>
      <rgbColor rgb="FF9999FF"/>
      <rgbColor rgb="FFA0453A"/>
      <rgbColor rgb="FFFFFDE0"/>
      <rgbColor rgb="FFFB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0DEC8"/>
      <rgbColor rgb="FF3366FF"/>
      <rgbColor rgb="FF33CCCC"/>
      <rgbColor rgb="FF99CC00"/>
      <rgbColor rgb="FFFFCC00"/>
      <rgbColor rgb="FFFF9900"/>
      <rgbColor rgb="FFFF6600"/>
      <rgbColor rgb="FF726A58"/>
      <rgbColor rgb="FF969696"/>
      <rgbColor rgb="FF003366"/>
      <rgbColor rgb="FF43704A"/>
      <rgbColor rgb="FF003300"/>
      <rgbColor rgb="FF333300"/>
      <rgbColor rgb="FF8A4118"/>
      <rgbColor rgb="FFB85A29"/>
      <rgbColor rgb="FF333399"/>
      <rgbColor rgb="FF2B2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2" sqref="F12"/>
    </sheetView>
  </sheetViews>
  <sheetFormatPr defaultColWidth="8.5546875" defaultRowHeight="14.4"/>
  <cols>
    <col min="1" max="1" width="10" style="1" customWidth="1"/>
    <col min="2" max="2" width="13" style="1" customWidth="1"/>
    <col min="3" max="3" width="16.109375" style="1" customWidth="1"/>
    <col min="4" max="4" width="8" style="1" customWidth="1"/>
    <col min="5" max="5" width="12" style="1" customWidth="1"/>
    <col min="6" max="8" width="13" style="1" customWidth="1"/>
    <col min="9" max="10" width="15" style="1" customWidth="1"/>
    <col min="11" max="11" width="8" style="1" customWidth="1"/>
    <col min="12" max="14" width="12" style="1" customWidth="1"/>
  </cols>
  <sheetData>
    <row r="1" spans="1:16" ht="17.25" customHeight="1">
      <c r="A1" s="2" t="s">
        <v>0</v>
      </c>
    </row>
    <row r="2" spans="1:16" ht="14.25" customHeight="1">
      <c r="A2" s="3" t="s">
        <v>1</v>
      </c>
    </row>
    <row r="4" spans="1:16" ht="14.25" customHeight="1">
      <c r="B4" s="40" t="str">
        <f>"시나리오 A · 두수 "&amp;기준값!$B$18&amp;"두 (30~59두 구간 예시)"</f>
        <v>시나리오 A · 두수 30두 (30~59두 구간 예시)</v>
      </c>
      <c r="C4" s="40"/>
      <c r="D4" s="40"/>
      <c r="E4" s="40"/>
      <c r="F4" s="40"/>
      <c r="G4" s="40"/>
      <c r="H4" s="40"/>
      <c r="I4" s="40"/>
      <c r="J4" s="40" t="str">
        <f>"시나리오 B · 두수 "&amp;기준값!$B$19&amp;"두 (60두 이상 구간 예시)"</f>
        <v>시나리오 B · 두수 65두 (60두 이상 구간 예시)</v>
      </c>
      <c r="K4" s="40"/>
      <c r="L4" s="40"/>
      <c r="M4" s="40"/>
      <c r="N4" s="40"/>
      <c r="O4" s="40"/>
      <c r="P4" s="40"/>
    </row>
    <row r="5" spans="1:16" ht="30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4</v>
      </c>
      <c r="K5" s="4" t="s">
        <v>5</v>
      </c>
      <c r="L5" s="4" t="s">
        <v>6</v>
      </c>
      <c r="M5" s="4" t="s">
        <v>7</v>
      </c>
      <c r="N5" s="4" t="s">
        <v>8</v>
      </c>
      <c r="O5" s="4" t="s">
        <v>9</v>
      </c>
      <c r="P5" s="4" t="s">
        <v>10</v>
      </c>
    </row>
    <row r="6" spans="1:16" ht="14.25" customHeight="1">
      <c r="A6" s="5">
        <v>105</v>
      </c>
      <c r="B6" s="6">
        <f>A6*기준값!$B$7</f>
        <v>407281.875</v>
      </c>
      <c r="C6" s="7" t="str">
        <f>IF(기준값!$B$18&lt;기준값!$B$11,"두수기준미달",IF(기준값!$B$18&gt;=기준값!$B$12,IF(A6&gt;=기준값!$B$13,"인센티브","기본(두수만 충족)"),IF(A6&gt;=기준값!$B$13,"기본","패널티")))</f>
        <v>패널티</v>
      </c>
      <c r="D6" s="8">
        <f>IF(기준값!$B$18&lt;기준값!$B$11,"-",IF(기준값!$B$18&gt;=기준값!$B$12,IF(A6&gt;=기준값!$B$13,기준값!$B$14,기준값!$B$16),IF(A6&gt;=기준값!$B$13,기준값!$B$16,기준값!$B$15)))</f>
        <v>1</v>
      </c>
      <c r="E6" s="6">
        <f>IFERROR(IF(ISNUMBER(D6),기준값!$B$10*D6/기준값!$B$18,"-"),"-")</f>
        <v>13333.333333333334</v>
      </c>
      <c r="F6" s="6">
        <f>IF(ISNUMBER(E6),E6*기준값!$B$18,"-")</f>
        <v>400000</v>
      </c>
      <c r="G6" s="6">
        <f>IF(ISNUMBER(E6),기준값!$B$8+E6,"-")</f>
        <v>443333.33333333331</v>
      </c>
      <c r="H6" s="6">
        <f t="shared" ref="H6:H26" si="0">IF(ISNUMBER(G6),B6-G6,"-")</f>
        <v>-36051.458333333314</v>
      </c>
      <c r="I6" s="6">
        <f>IF(ISNUMBER(H6),H6*기준값!$B$18,"-")</f>
        <v>-1081543.7499999995</v>
      </c>
      <c r="J6" s="7" t="str">
        <f>IF(기준값!$B$19&lt;기준값!$B$11,"두수기준미달",IF(기준값!$B$19&gt;=기준값!$B$12,IF(A6&gt;=기준값!$B$13,"인센티브","기본(두수만 충족)"),IF(A6&gt;=기준값!$B$13,"기본","패널티")))</f>
        <v>기본(두수만 충족)</v>
      </c>
      <c r="K6" s="8">
        <f>IF(기준값!$B$19&lt;기준값!$B$11,"-",IF(기준값!$B$19&gt;=기준값!$B$12,IF(A6&gt;=기준값!$B$13,기준값!$B$14,기준값!$B$16),IF(A6&gt;=기준값!$B$13,기준값!$B$16,기준값!$B$15)))</f>
        <v>1</v>
      </c>
      <c r="L6" s="6">
        <f>IFERROR(IF(ISNUMBER(K6),기준값!$B$10*K6/기준값!$B$19,"-"),"-")</f>
        <v>6153.8461538461543</v>
      </c>
      <c r="M6" s="6">
        <f>IF(ISNUMBER(L6),L6*기준값!$B$19,"-")</f>
        <v>400000</v>
      </c>
      <c r="N6" s="6">
        <f>IF(ISNUMBER(L6),기준값!$B$8+L6,"-")</f>
        <v>436153.84615384613</v>
      </c>
      <c r="O6" s="6">
        <f t="shared" ref="O6:O26" si="1">IF(ISNUMBER(N6),B6-N6,"-")</f>
        <v>-28871.971153846127</v>
      </c>
      <c r="P6" s="6">
        <f>IF(ISNUMBER(O6),O6*기준값!$B$19,"-")</f>
        <v>-1876678.1249999981</v>
      </c>
    </row>
    <row r="7" spans="1:16" ht="14.25" customHeight="1">
      <c r="A7" s="9">
        <v>106</v>
      </c>
      <c r="B7" s="10">
        <f>A7*기준값!$B$7</f>
        <v>411160.75</v>
      </c>
      <c r="C7" s="11" t="str">
        <f>IF(기준값!$B$18&lt;기준값!$B$11,"두수기준미달",IF(기준값!$B$18&gt;=기준값!$B$12,IF(A7&gt;=기준값!$B$13,"인센티브","기본(두수만 충족)"),IF(A7&gt;=기준값!$B$13,"기본","패널티")))</f>
        <v>패널티</v>
      </c>
      <c r="D7" s="12">
        <f>IF(기준값!$B$18&lt;기준값!$B$11,"-",IF(기준값!$B$18&gt;=기준값!$B$12,IF(A7&gt;=기준값!$B$13,기준값!$B$14,기준값!$B$16),IF(A7&gt;=기준값!$B$13,기준값!$B$16,기준값!$B$15)))</f>
        <v>1</v>
      </c>
      <c r="E7" s="10">
        <f>IFERROR(IF(ISNUMBER(D7),기준값!$B$10*D7/기준값!$B$18,"-"),"-")</f>
        <v>13333.333333333334</v>
      </c>
      <c r="F7" s="6">
        <f>IF(ISNUMBER(E7),E7*기준값!$B$18,"-")</f>
        <v>400000</v>
      </c>
      <c r="G7" s="10">
        <f>IF(ISNUMBER(E7),기준값!$B$8+E7,"-")</f>
        <v>443333.33333333331</v>
      </c>
      <c r="H7" s="10">
        <f t="shared" si="0"/>
        <v>-32172.583333333314</v>
      </c>
      <c r="I7" s="10">
        <f>IF(ISNUMBER(H7),H7*기준값!$B$18,"-")</f>
        <v>-965177.49999999942</v>
      </c>
      <c r="J7" s="11" t="str">
        <f>IF(기준값!$B$19&lt;기준값!$B$11,"두수기준미달",IF(기준값!$B$19&gt;=기준값!$B$12,IF(A7&gt;=기준값!$B$13,"인센티브","기본(두수만 충족)"),IF(A7&gt;=기준값!$B$13,"기본","패널티")))</f>
        <v>기본(두수만 충족)</v>
      </c>
      <c r="K7" s="12">
        <f>IF(기준값!$B$19&lt;기준값!$B$11,"-",IF(기준값!$B$19&gt;=기준값!$B$12,IF(A7&gt;=기준값!$B$13,기준값!$B$14,기준값!$B$16),IF(A7&gt;=기준값!$B$13,기준값!$B$16,기준값!$B$15)))</f>
        <v>1</v>
      </c>
      <c r="L7" s="10">
        <f>IFERROR(IF(ISNUMBER(K7),기준값!$B$10*K7/기준값!$B$19,"-"),"-")</f>
        <v>6153.8461538461543</v>
      </c>
      <c r="M7" s="6">
        <f>IF(ISNUMBER(L7),L7*기준값!$B$19,"-")</f>
        <v>400000</v>
      </c>
      <c r="N7" s="10">
        <f>IF(ISNUMBER(L7),기준값!$B$8+L7,"-")</f>
        <v>436153.84615384613</v>
      </c>
      <c r="O7" s="10">
        <f t="shared" si="1"/>
        <v>-24993.096153846127</v>
      </c>
      <c r="P7" s="10">
        <f>IF(ISNUMBER(O7),O7*기준값!$B$19,"-")</f>
        <v>-1624551.2499999981</v>
      </c>
    </row>
    <row r="8" spans="1:16" ht="14.25" customHeight="1">
      <c r="A8" s="5">
        <v>107</v>
      </c>
      <c r="B8" s="6">
        <f>A8*기준값!$B$7</f>
        <v>415039.625</v>
      </c>
      <c r="C8" s="7" t="str">
        <f>IF(기준값!$B$18&lt;기준값!$B$11,"두수기준미달",IF(기준값!$B$18&gt;=기준값!$B$12,IF(A8&gt;=기준값!$B$13,"인센티브","기본(두수만 충족)"),IF(A8&gt;=기준값!$B$13,"기본","패널티")))</f>
        <v>패널티</v>
      </c>
      <c r="D8" s="8">
        <f>IF(기준값!$B$18&lt;기준값!$B$11,"-",IF(기준값!$B$18&gt;=기준값!$B$12,IF(A8&gt;=기준값!$B$13,기준값!$B$14,기준값!$B$16),IF(A8&gt;=기준값!$B$13,기준값!$B$16,기준값!$B$15)))</f>
        <v>1</v>
      </c>
      <c r="E8" s="6">
        <f>IFERROR(IF(ISNUMBER(D8),기준값!$B$10*D8/기준값!$B$18,"-"),"-")</f>
        <v>13333.333333333334</v>
      </c>
      <c r="F8" s="6">
        <f>IF(ISNUMBER(E8),E8*기준값!$B$18,"-")</f>
        <v>400000</v>
      </c>
      <c r="G8" s="6">
        <f>IF(ISNUMBER(E8),기준값!$B$8+E8,"-")</f>
        <v>443333.33333333331</v>
      </c>
      <c r="H8" s="6">
        <f t="shared" si="0"/>
        <v>-28293.708333333314</v>
      </c>
      <c r="I8" s="6">
        <f>IF(ISNUMBER(H8),H8*기준값!$B$18,"-")</f>
        <v>-848811.24999999942</v>
      </c>
      <c r="J8" s="7" t="str">
        <f>IF(기준값!$B$19&lt;기준값!$B$11,"두수기준미달",IF(기준값!$B$19&gt;=기준값!$B$12,IF(A8&gt;=기준값!$B$13,"인센티브","기본(두수만 충족)"),IF(A8&gt;=기준값!$B$13,"기본","패널티")))</f>
        <v>기본(두수만 충족)</v>
      </c>
      <c r="K8" s="8">
        <f>IF(기준값!$B$19&lt;기준값!$B$11,"-",IF(기준값!$B$19&gt;=기준값!$B$12,IF(A8&gt;=기준값!$B$13,기준값!$B$14,기준값!$B$16),IF(A8&gt;=기준값!$B$13,기준값!$B$16,기준값!$B$15)))</f>
        <v>1</v>
      </c>
      <c r="L8" s="6">
        <f>IFERROR(IF(ISNUMBER(K8),기준값!$B$10*K8/기준값!$B$19,"-"),"-")</f>
        <v>6153.8461538461543</v>
      </c>
      <c r="M8" s="6">
        <f>IF(ISNUMBER(L8),L8*기준값!$B$19,"-")</f>
        <v>400000</v>
      </c>
      <c r="N8" s="6">
        <f>IF(ISNUMBER(L8),기준값!$B$8+L8,"-")</f>
        <v>436153.84615384613</v>
      </c>
      <c r="O8" s="6">
        <f t="shared" si="1"/>
        <v>-21114.221153846127</v>
      </c>
      <c r="P8" s="6">
        <f>IF(ISNUMBER(O8),O8*기준값!$B$19,"-")</f>
        <v>-1372424.3749999981</v>
      </c>
    </row>
    <row r="9" spans="1:16" ht="14.25" customHeight="1">
      <c r="A9" s="9">
        <v>108</v>
      </c>
      <c r="B9" s="10">
        <f>A9*기준값!$B$7</f>
        <v>418918.5</v>
      </c>
      <c r="C9" s="11" t="str">
        <f>IF(기준값!$B$18&lt;기준값!$B$11,"두수기준미달",IF(기준값!$B$18&gt;=기준값!$B$12,IF(A9&gt;=기준값!$B$13,"인센티브","기본(두수만 충족)"),IF(A9&gt;=기준값!$B$13,"기본","패널티")))</f>
        <v>패널티</v>
      </c>
      <c r="D9" s="12">
        <f>IF(기준값!$B$18&lt;기준값!$B$11,"-",IF(기준값!$B$18&gt;=기준값!$B$12,IF(A9&gt;=기준값!$B$13,기준값!$B$14,기준값!$B$16),IF(A9&gt;=기준값!$B$13,기준값!$B$16,기준값!$B$15)))</f>
        <v>1</v>
      </c>
      <c r="E9" s="10">
        <f>IFERROR(IF(ISNUMBER(D9),기준값!$B$10*D9/기준값!$B$18,"-"),"-")</f>
        <v>13333.333333333334</v>
      </c>
      <c r="F9" s="6">
        <f>IF(ISNUMBER(E9),E9*기준값!$B$18,"-")</f>
        <v>400000</v>
      </c>
      <c r="G9" s="10">
        <f>IF(ISNUMBER(E9),기준값!$B$8+E9,"-")</f>
        <v>443333.33333333331</v>
      </c>
      <c r="H9" s="10">
        <f t="shared" si="0"/>
        <v>-24414.833333333314</v>
      </c>
      <c r="I9" s="10">
        <f>IF(ISNUMBER(H9),H9*기준값!$B$18,"-")</f>
        <v>-732444.99999999942</v>
      </c>
      <c r="J9" s="11" t="str">
        <f>IF(기준값!$B$19&lt;기준값!$B$11,"두수기준미달",IF(기준값!$B$19&gt;=기준값!$B$12,IF(A9&gt;=기준값!$B$13,"인센티브","기본(두수만 충족)"),IF(A9&gt;=기준값!$B$13,"기본","패널티")))</f>
        <v>기본(두수만 충족)</v>
      </c>
      <c r="K9" s="12">
        <f>IF(기준값!$B$19&lt;기준값!$B$11,"-",IF(기준값!$B$19&gt;=기준값!$B$12,IF(A9&gt;=기준값!$B$13,기준값!$B$14,기준값!$B$16),IF(A9&gt;=기준값!$B$13,기준값!$B$16,기준값!$B$15)))</f>
        <v>1</v>
      </c>
      <c r="L9" s="10">
        <f>IFERROR(IF(ISNUMBER(K9),기준값!$B$10*K9/기준값!$B$19,"-"),"-")</f>
        <v>6153.8461538461543</v>
      </c>
      <c r="M9" s="6">
        <f>IF(ISNUMBER(L9),L9*기준값!$B$19,"-")</f>
        <v>400000</v>
      </c>
      <c r="N9" s="10">
        <f>IF(ISNUMBER(L9),기준값!$B$8+L9,"-")</f>
        <v>436153.84615384613</v>
      </c>
      <c r="O9" s="10">
        <f t="shared" si="1"/>
        <v>-17235.346153846127</v>
      </c>
      <c r="P9" s="10">
        <f>IF(ISNUMBER(O9),O9*기준값!$B$19,"-")</f>
        <v>-1120297.4999999981</v>
      </c>
    </row>
    <row r="10" spans="1:16" ht="14.25" customHeight="1">
      <c r="A10" s="5">
        <v>109</v>
      </c>
      <c r="B10" s="6">
        <f>A10*기준값!$B$7</f>
        <v>422797.375</v>
      </c>
      <c r="C10" s="7" t="str">
        <f>IF(기준값!$B$18&lt;기준값!$B$11,"두수기준미달",IF(기준값!$B$18&gt;=기준값!$B$12,IF(A10&gt;=기준값!$B$13,"인센티브","기본(두수만 충족)"),IF(A10&gt;=기준값!$B$13,"기본","패널티")))</f>
        <v>패널티</v>
      </c>
      <c r="D10" s="8">
        <f>IF(기준값!$B$18&lt;기준값!$B$11,"-",IF(기준값!$B$18&gt;=기준값!$B$12,IF(A10&gt;=기준값!$B$13,기준값!$B$14,기준값!$B$16),IF(A10&gt;=기준값!$B$13,기준값!$B$16,기준값!$B$15)))</f>
        <v>1</v>
      </c>
      <c r="E10" s="6">
        <f>IFERROR(IF(ISNUMBER(D10),기준값!$B$10*D10/기준값!$B$18,"-"),"-")</f>
        <v>13333.333333333334</v>
      </c>
      <c r="F10" s="6">
        <f>IF(ISNUMBER(E10),E10*기준값!$B$18,"-")</f>
        <v>400000</v>
      </c>
      <c r="G10" s="6">
        <f>IF(ISNUMBER(E10),기준값!$B$8+E10,"-")</f>
        <v>443333.33333333331</v>
      </c>
      <c r="H10" s="6">
        <f t="shared" si="0"/>
        <v>-20535.958333333314</v>
      </c>
      <c r="I10" s="6">
        <f>IF(ISNUMBER(H10),H10*기준값!$B$18,"-")</f>
        <v>-616078.74999999942</v>
      </c>
      <c r="J10" s="7" t="str">
        <f>IF(기준값!$B$19&lt;기준값!$B$11,"두수기준미달",IF(기준값!$B$19&gt;=기준값!$B$12,IF(A10&gt;=기준값!$B$13,"인센티브","기본(두수만 충족)"),IF(A10&gt;=기준값!$B$13,"기본","패널티")))</f>
        <v>기본(두수만 충족)</v>
      </c>
      <c r="K10" s="8">
        <f>IF(기준값!$B$19&lt;기준값!$B$11,"-",IF(기준값!$B$19&gt;=기준값!$B$12,IF(A10&gt;=기준값!$B$13,기준값!$B$14,기준값!$B$16),IF(A10&gt;=기준값!$B$13,기준값!$B$16,기준값!$B$15)))</f>
        <v>1</v>
      </c>
      <c r="L10" s="6">
        <f>IFERROR(IF(ISNUMBER(K10),기준값!$B$10*K10/기준값!$B$19,"-"),"-")</f>
        <v>6153.8461538461543</v>
      </c>
      <c r="M10" s="6">
        <f>IF(ISNUMBER(L10),L10*기준값!$B$19,"-")</f>
        <v>400000</v>
      </c>
      <c r="N10" s="6">
        <f>IF(ISNUMBER(L10),기준값!$B$8+L10,"-")</f>
        <v>436153.84615384613</v>
      </c>
      <c r="O10" s="6">
        <f t="shared" si="1"/>
        <v>-13356.471153846127</v>
      </c>
      <c r="P10" s="6">
        <f>IF(ISNUMBER(O10),O10*기준값!$B$19,"-")</f>
        <v>-868170.62499999825</v>
      </c>
    </row>
    <row r="11" spans="1:16" ht="14.25" customHeight="1">
      <c r="A11" s="9">
        <v>110</v>
      </c>
      <c r="B11" s="10">
        <f>A11*기준값!$B$7</f>
        <v>426676.25</v>
      </c>
      <c r="C11" s="11" t="str">
        <f>IF(기준값!$B$18&lt;기준값!$B$11,"두수기준미달",IF(기준값!$B$18&gt;=기준값!$B$12,IF(A11&gt;=기준값!$B$13,"인센티브","기본(두수만 충족)"),IF(A11&gt;=기준값!$B$13,"기본","패널티")))</f>
        <v>패널티</v>
      </c>
      <c r="D11" s="12">
        <f>IF(기준값!$B$18&lt;기준값!$B$11,"-",IF(기준값!$B$18&gt;=기준값!$B$12,IF(A11&gt;=기준값!$B$13,기준값!$B$14,기준값!$B$16),IF(A11&gt;=기준값!$B$13,기준값!$B$16,기준값!$B$15)))</f>
        <v>1</v>
      </c>
      <c r="E11" s="10">
        <f>IFERROR(IF(ISNUMBER(D11),기준값!$B$10*D11/기준값!$B$18,"-"),"-")</f>
        <v>13333.333333333334</v>
      </c>
      <c r="F11" s="6">
        <f>IF(ISNUMBER(E11),E11*기준값!$B$18,"-")</f>
        <v>400000</v>
      </c>
      <c r="G11" s="10">
        <f>IF(ISNUMBER(E11),기준값!$B$8+E11,"-")</f>
        <v>443333.33333333331</v>
      </c>
      <c r="H11" s="10">
        <f t="shared" si="0"/>
        <v>-16657.083333333314</v>
      </c>
      <c r="I11" s="10">
        <f>IF(ISNUMBER(H11),H11*기준값!$B$18,"-")</f>
        <v>-499712.49999999942</v>
      </c>
      <c r="J11" s="11" t="str">
        <f>IF(기준값!$B$19&lt;기준값!$B$11,"두수기준미달",IF(기준값!$B$19&gt;=기준값!$B$12,IF(A11&gt;=기준값!$B$13,"인센티브","기본(두수만 충족)"),IF(A11&gt;=기준값!$B$13,"기본","패널티")))</f>
        <v>기본(두수만 충족)</v>
      </c>
      <c r="K11" s="12">
        <f>IF(기준값!$B$19&lt;기준값!$B$11,"-",IF(기준값!$B$19&gt;=기준값!$B$12,IF(A11&gt;=기준값!$B$13,기준값!$B$14,기준값!$B$16),IF(A11&gt;=기준값!$B$13,기준값!$B$16,기준값!$B$15)))</f>
        <v>1</v>
      </c>
      <c r="L11" s="10">
        <f>IFERROR(IF(ISNUMBER(K11),기준값!$B$10*K11/기준값!$B$19,"-"),"-")</f>
        <v>6153.8461538461543</v>
      </c>
      <c r="M11" s="6">
        <f>IF(ISNUMBER(L11),L11*기준값!$B$19,"-")</f>
        <v>400000</v>
      </c>
      <c r="N11" s="10">
        <f>IF(ISNUMBER(L11),기준값!$B$8+L11,"-")</f>
        <v>436153.84615384613</v>
      </c>
      <c r="O11" s="10">
        <f t="shared" si="1"/>
        <v>-9477.596153846127</v>
      </c>
      <c r="P11" s="10">
        <f>IF(ISNUMBER(O11),O11*기준값!$B$19,"-")</f>
        <v>-616043.74999999825</v>
      </c>
    </row>
    <row r="12" spans="1:16" ht="14.25" customHeight="1">
      <c r="A12" s="5">
        <v>111</v>
      </c>
      <c r="B12" s="6">
        <f>A12*기준값!$B$7</f>
        <v>430555.125</v>
      </c>
      <c r="C12" s="7" t="str">
        <f>IF(기준값!$B$18&lt;기준값!$B$11,"두수기준미달",IF(기준값!$B$18&gt;=기준값!$B$12,IF(A12&gt;=기준값!$B$13,"인센티브","기본(두수만 충족)"),IF(A12&gt;=기준값!$B$13,"기본","패널티")))</f>
        <v>패널티</v>
      </c>
      <c r="D12" s="8">
        <f>IF(기준값!$B$18&lt;기준값!$B$11,"-",IF(기준값!$B$18&gt;=기준값!$B$12,IF(A12&gt;=기준값!$B$13,기준값!$B$14,기준값!$B$16),IF(A12&gt;=기준값!$B$13,기준값!$B$16,기준값!$B$15)))</f>
        <v>1</v>
      </c>
      <c r="E12" s="6">
        <f>IFERROR(IF(ISNUMBER(D12),기준값!$B$10*D12/기준값!$B$18,"-"),"-")</f>
        <v>13333.333333333334</v>
      </c>
      <c r="F12" s="6">
        <f>IF(ISNUMBER(E12),E12*기준값!$B$18,"-")</f>
        <v>400000</v>
      </c>
      <c r="G12" s="6">
        <f>IF(ISNUMBER(E12),기준값!$B$8+E12,"-")</f>
        <v>443333.33333333331</v>
      </c>
      <c r="H12" s="6">
        <f t="shared" si="0"/>
        <v>-12778.208333333314</v>
      </c>
      <c r="I12" s="6">
        <f>IF(ISNUMBER(H12),H12*기준값!$B$18,"-")</f>
        <v>-383346.24999999942</v>
      </c>
      <c r="J12" s="7" t="str">
        <f>IF(기준값!$B$19&lt;기준값!$B$11,"두수기준미달",IF(기준값!$B$19&gt;=기준값!$B$12,IF(A12&gt;=기준값!$B$13,"인센티브","기본(두수만 충족)"),IF(A12&gt;=기준값!$B$13,"기본","패널티")))</f>
        <v>기본(두수만 충족)</v>
      </c>
      <c r="K12" s="8">
        <f>IF(기준값!$B$19&lt;기준값!$B$11,"-",IF(기준값!$B$19&gt;=기준값!$B$12,IF(A12&gt;=기준값!$B$13,기준값!$B$14,기준값!$B$16),IF(A12&gt;=기준값!$B$13,기준값!$B$16,기준값!$B$15)))</f>
        <v>1</v>
      </c>
      <c r="L12" s="6">
        <f>IFERROR(IF(ISNUMBER(K12),기준값!$B$10*K12/기준값!$B$19,"-"),"-")</f>
        <v>6153.8461538461543</v>
      </c>
      <c r="M12" s="6">
        <f>IF(ISNUMBER(L12),L12*기준값!$B$19,"-")</f>
        <v>400000</v>
      </c>
      <c r="N12" s="6">
        <f>IF(ISNUMBER(L12),기준값!$B$8+L12,"-")</f>
        <v>436153.84615384613</v>
      </c>
      <c r="O12" s="6">
        <f t="shared" si="1"/>
        <v>-5598.721153846127</v>
      </c>
      <c r="P12" s="6">
        <f>IF(ISNUMBER(O12),O12*기준값!$B$19,"-")</f>
        <v>-363916.87499999825</v>
      </c>
    </row>
    <row r="13" spans="1:16" ht="14.25" customHeight="1">
      <c r="A13" s="9">
        <v>112</v>
      </c>
      <c r="B13" s="10">
        <f>A13*기준값!$B$7</f>
        <v>434434</v>
      </c>
      <c r="C13" s="11" t="str">
        <f>IF(기준값!$B$18&lt;기준값!$B$11,"두수기준미달",IF(기준값!$B$18&gt;=기준값!$B$12,IF(A13&gt;=기준값!$B$13,"인센티브","기본(두수만 충족)"),IF(A13&gt;=기준값!$B$13,"기본","패널티")))</f>
        <v>패널티</v>
      </c>
      <c r="D13" s="12">
        <f>IF(기준값!$B$18&lt;기준값!$B$11,"-",IF(기준값!$B$18&gt;=기준값!$B$12,IF(A13&gt;=기준값!$B$13,기준값!$B$14,기준값!$B$16),IF(A13&gt;=기준값!$B$13,기준값!$B$16,기준값!$B$15)))</f>
        <v>1</v>
      </c>
      <c r="E13" s="10">
        <f>IFERROR(IF(ISNUMBER(D13),기준값!$B$10*D13/기준값!$B$18,"-"),"-")</f>
        <v>13333.333333333334</v>
      </c>
      <c r="F13" s="6">
        <f>IF(ISNUMBER(E13),E13*기준값!$B$18,"-")</f>
        <v>400000</v>
      </c>
      <c r="G13" s="10">
        <f>IF(ISNUMBER(E13),기준값!$B$8+E13,"-")</f>
        <v>443333.33333333331</v>
      </c>
      <c r="H13" s="10">
        <f t="shared" si="0"/>
        <v>-8899.3333333333139</v>
      </c>
      <c r="I13" s="10">
        <f>IF(ISNUMBER(H13),H13*기준값!$B$18,"-")</f>
        <v>-266979.99999999942</v>
      </c>
      <c r="J13" s="11" t="str">
        <f>IF(기준값!$B$19&lt;기준값!$B$11,"두수기준미달",IF(기준값!$B$19&gt;=기준값!$B$12,IF(A13&gt;=기준값!$B$13,"인센티브","기본(두수만 충족)"),IF(A13&gt;=기준값!$B$13,"기본","패널티")))</f>
        <v>기본(두수만 충족)</v>
      </c>
      <c r="K13" s="12">
        <f>IF(기준값!$B$19&lt;기준값!$B$11,"-",IF(기준값!$B$19&gt;=기준값!$B$12,IF(A13&gt;=기준값!$B$13,기준값!$B$14,기준값!$B$16),IF(A13&gt;=기준값!$B$13,기준값!$B$16,기준값!$B$15)))</f>
        <v>1</v>
      </c>
      <c r="L13" s="10">
        <f>IFERROR(IF(ISNUMBER(K13),기준값!$B$10*K13/기준값!$B$19,"-"),"-")</f>
        <v>6153.8461538461543</v>
      </c>
      <c r="M13" s="6">
        <f>IF(ISNUMBER(L13),L13*기준값!$B$19,"-")</f>
        <v>400000</v>
      </c>
      <c r="N13" s="10">
        <f>IF(ISNUMBER(L13),기준값!$B$8+L13,"-")</f>
        <v>436153.84615384613</v>
      </c>
      <c r="O13" s="10">
        <f t="shared" si="1"/>
        <v>-1719.846153846127</v>
      </c>
      <c r="P13" s="10">
        <f>IF(ISNUMBER(O13),O13*기준값!$B$19,"-")</f>
        <v>-111789.99999999825</v>
      </c>
    </row>
    <row r="14" spans="1:16" ht="14.25" customHeight="1">
      <c r="A14" s="13">
        <v>113</v>
      </c>
      <c r="B14" s="14">
        <f>A14*기준값!$B$7</f>
        <v>438312.875</v>
      </c>
      <c r="C14" s="15" t="str">
        <f>IF(기준값!$B$18&lt;기준값!$B$11,"두수기준미달",IF(기준값!$B$18&gt;=기준값!$B$12,IF(A14&gt;=기준값!$B$13,"인센티브","기본(두수만 충족)"),IF(A14&gt;=기준값!$B$13,"기본","패널티")))</f>
        <v>기본</v>
      </c>
      <c r="D14" s="16">
        <f>IF(기준값!$B$18&lt;기준값!$B$11,"-",IF(기준값!$B$18&gt;=기준값!$B$12,IF(A14&gt;=기준값!$B$13,기준값!$B$14,기준값!$B$16),IF(A14&gt;=기준값!$B$13,기준값!$B$16,기준값!$B$15)))</f>
        <v>1</v>
      </c>
      <c r="E14" s="14">
        <f>IFERROR(IF(ISNUMBER(D14),기준값!$B$10*D14/기준값!$B$18,"-"),"-")</f>
        <v>13333.333333333334</v>
      </c>
      <c r="F14" s="6">
        <f>IF(ISNUMBER(E14),E14*기준값!$B$18,"-")</f>
        <v>400000</v>
      </c>
      <c r="G14" s="14">
        <f>IF(ISNUMBER(E14),기준값!$B$8+E14,"-")</f>
        <v>443333.33333333331</v>
      </c>
      <c r="H14" s="14">
        <f t="shared" si="0"/>
        <v>-5020.4583333333139</v>
      </c>
      <c r="I14" s="14">
        <f>IF(ISNUMBER(H14),H14*기준값!$B$18,"-")</f>
        <v>-150613.74999999942</v>
      </c>
      <c r="J14" s="15" t="str">
        <f>IF(기준값!$B$19&lt;기준값!$B$11,"두수기준미달",IF(기준값!$B$19&gt;=기준값!$B$12,IF(A14&gt;=기준값!$B$13,"인센티브","기본(두수만 충족)"),IF(A14&gt;=기준값!$B$13,"기본","패널티")))</f>
        <v>인센티브</v>
      </c>
      <c r="K14" s="16">
        <f>IF(기준값!$B$19&lt;기준값!$B$11,"-",IF(기준값!$B$19&gt;=기준값!$B$12,IF(A14&gt;=기준값!$B$13,기준값!$B$14,기준값!$B$16),IF(A14&gt;=기준값!$B$13,기준값!$B$16,기준값!$B$15)))</f>
        <v>1</v>
      </c>
      <c r="L14" s="14">
        <f>IFERROR(IF(ISNUMBER(K14),기준값!$B$10*K14/기준값!$B$19,"-"),"-")</f>
        <v>6153.8461538461543</v>
      </c>
      <c r="M14" s="6">
        <f>IF(ISNUMBER(L14),L14*기준값!$B$19,"-")</f>
        <v>400000</v>
      </c>
      <c r="N14" s="14">
        <f>IF(ISNUMBER(L14),기준값!$B$8+L14,"-")</f>
        <v>436153.84615384613</v>
      </c>
      <c r="O14" s="14">
        <f t="shared" si="1"/>
        <v>2159.028846153873</v>
      </c>
      <c r="P14" s="14">
        <f>IF(ISNUMBER(O14),O14*기준값!$B$19,"-")</f>
        <v>140336.87500000175</v>
      </c>
    </row>
    <row r="15" spans="1:16" ht="14.25" customHeight="1">
      <c r="A15" s="9">
        <v>114</v>
      </c>
      <c r="B15" s="10">
        <f>A15*기준값!$B$7</f>
        <v>442191.75</v>
      </c>
      <c r="C15" s="11" t="str">
        <f>IF(기준값!$B$18&lt;기준값!$B$11,"두수기준미달",IF(기준값!$B$18&gt;=기준값!$B$12,IF(A15&gt;=기준값!$B$13,"인센티브","기본(두수만 충족)"),IF(A15&gt;=기준값!$B$13,"기본","패널티")))</f>
        <v>기본</v>
      </c>
      <c r="D15" s="12">
        <f>IF(기준값!$B$18&lt;기준값!$B$11,"-",IF(기준값!$B$18&gt;=기준값!$B$12,IF(A15&gt;=기준값!$B$13,기준값!$B$14,기준값!$B$16),IF(A15&gt;=기준값!$B$13,기준값!$B$16,기준값!$B$15)))</f>
        <v>1</v>
      </c>
      <c r="E15" s="10">
        <f>IFERROR(IF(ISNUMBER(D15),기준값!$B$10*D15/기준값!$B$18,"-"),"-")</f>
        <v>13333.333333333334</v>
      </c>
      <c r="F15" s="6">
        <f>IF(ISNUMBER(E15),E15*기준값!$B$18,"-")</f>
        <v>400000</v>
      </c>
      <c r="G15" s="10">
        <f>IF(ISNUMBER(E15),기준값!$B$8+E15,"-")</f>
        <v>443333.33333333331</v>
      </c>
      <c r="H15" s="10">
        <f t="shared" si="0"/>
        <v>-1141.5833333333139</v>
      </c>
      <c r="I15" s="10">
        <f>IF(ISNUMBER(H15),H15*기준값!$B$18,"-")</f>
        <v>-34247.499999999418</v>
      </c>
      <c r="J15" s="11" t="str">
        <f>IF(기준값!$B$19&lt;기준값!$B$11,"두수기준미달",IF(기준값!$B$19&gt;=기준값!$B$12,IF(A15&gt;=기준값!$B$13,"인센티브","기본(두수만 충족)"),IF(A15&gt;=기준값!$B$13,"기본","패널티")))</f>
        <v>인센티브</v>
      </c>
      <c r="K15" s="12">
        <f>IF(기준값!$B$19&lt;기준값!$B$11,"-",IF(기준값!$B$19&gt;=기준값!$B$12,IF(A15&gt;=기준값!$B$13,기준값!$B$14,기준값!$B$16),IF(A15&gt;=기준값!$B$13,기준값!$B$16,기준값!$B$15)))</f>
        <v>1</v>
      </c>
      <c r="L15" s="10">
        <f>IFERROR(IF(ISNUMBER(K15),기준값!$B$10*K15/기준값!$B$19,"-"),"-")</f>
        <v>6153.8461538461543</v>
      </c>
      <c r="M15" s="6">
        <f>IF(ISNUMBER(L15),L15*기준값!$B$19,"-")</f>
        <v>400000</v>
      </c>
      <c r="N15" s="10">
        <f>IF(ISNUMBER(L15),기준값!$B$8+L15,"-")</f>
        <v>436153.84615384613</v>
      </c>
      <c r="O15" s="10">
        <f t="shared" si="1"/>
        <v>6037.903846153873</v>
      </c>
      <c r="P15" s="10">
        <f>IF(ISNUMBER(O15),O15*기준값!$B$19,"-")</f>
        <v>392463.75000000175</v>
      </c>
    </row>
    <row r="16" spans="1:16" ht="14.25" customHeight="1">
      <c r="A16" s="5">
        <v>115</v>
      </c>
      <c r="B16" s="6">
        <f>A16*기준값!$B$7</f>
        <v>446070.625</v>
      </c>
      <c r="C16" s="7" t="str">
        <f>IF(기준값!$B$18&lt;기준값!$B$11,"두수기준미달",IF(기준값!$B$18&gt;=기준값!$B$12,IF(A16&gt;=기준값!$B$13,"인센티브","기본(두수만 충족)"),IF(A16&gt;=기준값!$B$13,"기본","패널티")))</f>
        <v>기본</v>
      </c>
      <c r="D16" s="8">
        <f>IF(기준값!$B$18&lt;기준값!$B$11,"-",IF(기준값!$B$18&gt;=기준값!$B$12,IF(A16&gt;=기준값!$B$13,기준값!$B$14,기준값!$B$16),IF(A16&gt;=기준값!$B$13,기준값!$B$16,기준값!$B$15)))</f>
        <v>1</v>
      </c>
      <c r="E16" s="6">
        <f>IFERROR(IF(ISNUMBER(D16),기준값!$B$10*D16/기준값!$B$18,"-"),"-")</f>
        <v>13333.333333333334</v>
      </c>
      <c r="F16" s="6">
        <f>IF(ISNUMBER(E16),E16*기준값!$B$18,"-")</f>
        <v>400000</v>
      </c>
      <c r="G16" s="6">
        <f>IF(ISNUMBER(E16),기준값!$B$8+E16,"-")</f>
        <v>443333.33333333331</v>
      </c>
      <c r="H16" s="6">
        <f t="shared" si="0"/>
        <v>2737.2916666666861</v>
      </c>
      <c r="I16" s="6">
        <f>IF(ISNUMBER(H16),H16*기준값!$B$18,"-")</f>
        <v>82118.750000000582</v>
      </c>
      <c r="J16" s="7" t="str">
        <f>IF(기준값!$B$19&lt;기준값!$B$11,"두수기준미달",IF(기준값!$B$19&gt;=기준값!$B$12,IF(A16&gt;=기준값!$B$13,"인센티브","기본(두수만 충족)"),IF(A16&gt;=기준값!$B$13,"기본","패널티")))</f>
        <v>인센티브</v>
      </c>
      <c r="K16" s="8">
        <f>IF(기준값!$B$19&lt;기준값!$B$11,"-",IF(기준값!$B$19&gt;=기준값!$B$12,IF(A16&gt;=기준값!$B$13,기준값!$B$14,기준값!$B$16),IF(A16&gt;=기준값!$B$13,기준값!$B$16,기준값!$B$15)))</f>
        <v>1</v>
      </c>
      <c r="L16" s="6">
        <f>IFERROR(IF(ISNUMBER(K16),기준값!$B$10*K16/기준값!$B$19,"-"),"-")</f>
        <v>6153.8461538461543</v>
      </c>
      <c r="M16" s="6">
        <f>IF(ISNUMBER(L16),L16*기준값!$B$19,"-")</f>
        <v>400000</v>
      </c>
      <c r="N16" s="6">
        <f>IF(ISNUMBER(L16),기준값!$B$8+L16,"-")</f>
        <v>436153.84615384613</v>
      </c>
      <c r="O16" s="6">
        <f t="shared" si="1"/>
        <v>9916.778846153873</v>
      </c>
      <c r="P16" s="6">
        <f>IF(ISNUMBER(O16),O16*기준값!$B$19,"-")</f>
        <v>644590.62500000175</v>
      </c>
    </row>
    <row r="17" spans="1:16" ht="14.25" customHeight="1">
      <c r="A17" s="9">
        <v>116</v>
      </c>
      <c r="B17" s="10">
        <f>A17*기준값!$B$7</f>
        <v>449949.5</v>
      </c>
      <c r="C17" s="11" t="str">
        <f>IF(기준값!$B$18&lt;기준값!$B$11,"두수기준미달",IF(기준값!$B$18&gt;=기준값!$B$12,IF(A17&gt;=기준값!$B$13,"인센티브","기본(두수만 충족)"),IF(A17&gt;=기준값!$B$13,"기본","패널티")))</f>
        <v>기본</v>
      </c>
      <c r="D17" s="12">
        <f>IF(기준값!$B$18&lt;기준값!$B$11,"-",IF(기준값!$B$18&gt;=기준값!$B$12,IF(A17&gt;=기준값!$B$13,기준값!$B$14,기준값!$B$16),IF(A17&gt;=기준값!$B$13,기준값!$B$16,기준값!$B$15)))</f>
        <v>1</v>
      </c>
      <c r="E17" s="10">
        <f>IFERROR(IF(ISNUMBER(D17),기준값!$B$10*D17/기준값!$B$18,"-"),"-")</f>
        <v>13333.333333333334</v>
      </c>
      <c r="F17" s="6">
        <f>IF(ISNUMBER(E17),E17*기준값!$B$18,"-")</f>
        <v>400000</v>
      </c>
      <c r="G17" s="10">
        <f>IF(ISNUMBER(E17),기준값!$B$8+E17,"-")</f>
        <v>443333.33333333331</v>
      </c>
      <c r="H17" s="10">
        <f t="shared" si="0"/>
        <v>6616.1666666666861</v>
      </c>
      <c r="I17" s="10">
        <f>IF(ISNUMBER(H17),H17*기준값!$B$18,"-")</f>
        <v>198485.00000000058</v>
      </c>
      <c r="J17" s="11" t="str">
        <f>IF(기준값!$B$19&lt;기준값!$B$11,"두수기준미달",IF(기준값!$B$19&gt;=기준값!$B$12,IF(A17&gt;=기준값!$B$13,"인센티브","기본(두수만 충족)"),IF(A17&gt;=기준값!$B$13,"기본","패널티")))</f>
        <v>인센티브</v>
      </c>
      <c r="K17" s="12">
        <f>IF(기준값!$B$19&lt;기준값!$B$11,"-",IF(기준값!$B$19&gt;=기준값!$B$12,IF(A17&gt;=기준값!$B$13,기준값!$B$14,기준값!$B$16),IF(A17&gt;=기준값!$B$13,기준값!$B$16,기준값!$B$15)))</f>
        <v>1</v>
      </c>
      <c r="L17" s="10">
        <f>IFERROR(IF(ISNUMBER(K17),기준값!$B$10*K17/기준값!$B$19,"-"),"-")</f>
        <v>6153.8461538461543</v>
      </c>
      <c r="M17" s="6">
        <f>IF(ISNUMBER(L17),L17*기준값!$B$19,"-")</f>
        <v>400000</v>
      </c>
      <c r="N17" s="10">
        <f>IF(ISNUMBER(L17),기준값!$B$8+L17,"-")</f>
        <v>436153.84615384613</v>
      </c>
      <c r="O17" s="10">
        <f t="shared" si="1"/>
        <v>13795.653846153873</v>
      </c>
      <c r="P17" s="10">
        <f>IF(ISNUMBER(O17),O17*기준값!$B$19,"-")</f>
        <v>896717.50000000175</v>
      </c>
    </row>
    <row r="18" spans="1:16" ht="14.25" customHeight="1">
      <c r="A18" s="5">
        <v>117</v>
      </c>
      <c r="B18" s="6">
        <f>A18*기준값!$B$7</f>
        <v>453828.375</v>
      </c>
      <c r="C18" s="7" t="str">
        <f>IF(기준값!$B$18&lt;기준값!$B$11,"두수기준미달",IF(기준값!$B$18&gt;=기준값!$B$12,IF(A18&gt;=기준값!$B$13,"인센티브","기본(두수만 충족)"),IF(A18&gt;=기준값!$B$13,"기본","패널티")))</f>
        <v>기본</v>
      </c>
      <c r="D18" s="8">
        <f>IF(기준값!$B$18&lt;기준값!$B$11,"-",IF(기준값!$B$18&gt;=기준값!$B$12,IF(A18&gt;=기준값!$B$13,기준값!$B$14,기준값!$B$16),IF(A18&gt;=기준값!$B$13,기준값!$B$16,기준값!$B$15)))</f>
        <v>1</v>
      </c>
      <c r="E18" s="6">
        <f>IFERROR(IF(ISNUMBER(D18),기준값!$B$10*D18/기준값!$B$18,"-"),"-")</f>
        <v>13333.333333333334</v>
      </c>
      <c r="F18" s="6">
        <f>IF(ISNUMBER(E18),E18*기준값!$B$18,"-")</f>
        <v>400000</v>
      </c>
      <c r="G18" s="6">
        <f>IF(ISNUMBER(E18),기준값!$B$8+E18,"-")</f>
        <v>443333.33333333331</v>
      </c>
      <c r="H18" s="6">
        <f t="shared" si="0"/>
        <v>10495.041666666686</v>
      </c>
      <c r="I18" s="6">
        <f>IF(ISNUMBER(H18),H18*기준값!$B$18,"-")</f>
        <v>314851.25000000058</v>
      </c>
      <c r="J18" s="7" t="str">
        <f>IF(기준값!$B$19&lt;기준값!$B$11,"두수기준미달",IF(기준값!$B$19&gt;=기준값!$B$12,IF(A18&gt;=기준값!$B$13,"인센티브","기본(두수만 충족)"),IF(A18&gt;=기준값!$B$13,"기본","패널티")))</f>
        <v>인센티브</v>
      </c>
      <c r="K18" s="8">
        <f>IF(기준값!$B$19&lt;기준값!$B$11,"-",IF(기준값!$B$19&gt;=기준값!$B$12,IF(A18&gt;=기준값!$B$13,기준값!$B$14,기준값!$B$16),IF(A18&gt;=기준값!$B$13,기준값!$B$16,기준값!$B$15)))</f>
        <v>1</v>
      </c>
      <c r="L18" s="6">
        <f>IFERROR(IF(ISNUMBER(K18),기준값!$B$10*K18/기준값!$B$19,"-"),"-")</f>
        <v>6153.8461538461543</v>
      </c>
      <c r="M18" s="6">
        <f>IF(ISNUMBER(L18),L18*기준값!$B$19,"-")</f>
        <v>400000</v>
      </c>
      <c r="N18" s="6">
        <f>IF(ISNUMBER(L18),기준값!$B$8+L18,"-")</f>
        <v>436153.84615384613</v>
      </c>
      <c r="O18" s="6">
        <f t="shared" si="1"/>
        <v>17674.528846153873</v>
      </c>
      <c r="P18" s="6">
        <f>IF(ISNUMBER(O18),O18*기준값!$B$19,"-")</f>
        <v>1148844.3750000019</v>
      </c>
    </row>
    <row r="19" spans="1:16" ht="14.25" customHeight="1">
      <c r="A19" s="9">
        <v>118</v>
      </c>
      <c r="B19" s="10">
        <f>A19*기준값!$B$7</f>
        <v>457707.25</v>
      </c>
      <c r="C19" s="11" t="str">
        <f>IF(기준값!$B$18&lt;기준값!$B$11,"두수기준미달",IF(기준값!$B$18&gt;=기준값!$B$12,IF(A19&gt;=기준값!$B$13,"인센티브","기본(두수만 충족)"),IF(A19&gt;=기준값!$B$13,"기본","패널티")))</f>
        <v>기본</v>
      </c>
      <c r="D19" s="12">
        <f>IF(기준값!$B$18&lt;기준값!$B$11,"-",IF(기준값!$B$18&gt;=기준값!$B$12,IF(A19&gt;=기준값!$B$13,기준값!$B$14,기준값!$B$16),IF(A19&gt;=기준값!$B$13,기준값!$B$16,기준값!$B$15)))</f>
        <v>1</v>
      </c>
      <c r="E19" s="10">
        <f>IFERROR(IF(ISNUMBER(D19),기준값!$B$10*D19/기준값!$B$18,"-"),"-")</f>
        <v>13333.333333333334</v>
      </c>
      <c r="F19" s="6">
        <f>IF(ISNUMBER(E19),E19*기준값!$B$18,"-")</f>
        <v>400000</v>
      </c>
      <c r="G19" s="10">
        <f>IF(ISNUMBER(E19),기준값!$B$8+E19,"-")</f>
        <v>443333.33333333331</v>
      </c>
      <c r="H19" s="10">
        <f t="shared" si="0"/>
        <v>14373.916666666686</v>
      </c>
      <c r="I19" s="10">
        <f>IF(ISNUMBER(H19),H19*기준값!$B$18,"-")</f>
        <v>431217.50000000058</v>
      </c>
      <c r="J19" s="11" t="str">
        <f>IF(기준값!$B$19&lt;기준값!$B$11,"두수기준미달",IF(기준값!$B$19&gt;=기준값!$B$12,IF(A19&gt;=기준값!$B$13,"인센티브","기본(두수만 충족)"),IF(A19&gt;=기준값!$B$13,"기본","패널티")))</f>
        <v>인센티브</v>
      </c>
      <c r="K19" s="12">
        <f>IF(기준값!$B$19&lt;기준값!$B$11,"-",IF(기준값!$B$19&gt;=기준값!$B$12,IF(A19&gt;=기준값!$B$13,기준값!$B$14,기준값!$B$16),IF(A19&gt;=기준값!$B$13,기준값!$B$16,기준값!$B$15)))</f>
        <v>1</v>
      </c>
      <c r="L19" s="10">
        <f>IFERROR(IF(ISNUMBER(K19),기준값!$B$10*K19/기준값!$B$19,"-"),"-")</f>
        <v>6153.8461538461543</v>
      </c>
      <c r="M19" s="6">
        <f>IF(ISNUMBER(L19),L19*기준값!$B$19,"-")</f>
        <v>400000</v>
      </c>
      <c r="N19" s="10">
        <f>IF(ISNUMBER(L19),기준값!$B$8+L19,"-")</f>
        <v>436153.84615384613</v>
      </c>
      <c r="O19" s="10">
        <f t="shared" si="1"/>
        <v>21553.403846153873</v>
      </c>
      <c r="P19" s="10">
        <f>IF(ISNUMBER(O19),O19*기준값!$B$19,"-")</f>
        <v>1400971.2500000019</v>
      </c>
    </row>
    <row r="20" spans="1:16" ht="14.25" customHeight="1">
      <c r="A20" s="5">
        <v>119</v>
      </c>
      <c r="B20" s="6">
        <f>A20*기준값!$B$7</f>
        <v>461586.125</v>
      </c>
      <c r="C20" s="7" t="str">
        <f>IF(기준값!$B$18&lt;기준값!$B$11,"두수기준미달",IF(기준값!$B$18&gt;=기준값!$B$12,IF(A20&gt;=기준값!$B$13,"인센티브","기본(두수만 충족)"),IF(A20&gt;=기준값!$B$13,"기본","패널티")))</f>
        <v>기본</v>
      </c>
      <c r="D20" s="8">
        <f>IF(기준값!$B$18&lt;기준값!$B$11,"-",IF(기준값!$B$18&gt;=기준값!$B$12,IF(A20&gt;=기준값!$B$13,기준값!$B$14,기준값!$B$16),IF(A20&gt;=기준값!$B$13,기준값!$B$16,기준값!$B$15)))</f>
        <v>1</v>
      </c>
      <c r="E20" s="6">
        <f>IFERROR(IF(ISNUMBER(D20),기준값!$B$10*D20/기준값!$B$18,"-"),"-")</f>
        <v>13333.333333333334</v>
      </c>
      <c r="F20" s="6">
        <f>IF(ISNUMBER(E20),E20*기준값!$B$18,"-")</f>
        <v>400000</v>
      </c>
      <c r="G20" s="6">
        <f>IF(ISNUMBER(E20),기준값!$B$8+E20,"-")</f>
        <v>443333.33333333331</v>
      </c>
      <c r="H20" s="6">
        <f t="shared" si="0"/>
        <v>18252.791666666686</v>
      </c>
      <c r="I20" s="6">
        <f>IF(ISNUMBER(H20),H20*기준값!$B$18,"-")</f>
        <v>547583.75000000058</v>
      </c>
      <c r="J20" s="7" t="str">
        <f>IF(기준값!$B$19&lt;기준값!$B$11,"두수기준미달",IF(기준값!$B$19&gt;=기준값!$B$12,IF(A20&gt;=기준값!$B$13,"인센티브","기본(두수만 충족)"),IF(A20&gt;=기준값!$B$13,"기본","패널티")))</f>
        <v>인센티브</v>
      </c>
      <c r="K20" s="8">
        <f>IF(기준값!$B$19&lt;기준값!$B$11,"-",IF(기준값!$B$19&gt;=기준값!$B$12,IF(A20&gt;=기준값!$B$13,기준값!$B$14,기준값!$B$16),IF(A20&gt;=기준값!$B$13,기준값!$B$16,기준값!$B$15)))</f>
        <v>1</v>
      </c>
      <c r="L20" s="6">
        <f>IFERROR(IF(ISNUMBER(K20),기준값!$B$10*K20/기준값!$B$19,"-"),"-")</f>
        <v>6153.8461538461543</v>
      </c>
      <c r="M20" s="6">
        <f>IF(ISNUMBER(L20),L20*기준값!$B$19,"-")</f>
        <v>400000</v>
      </c>
      <c r="N20" s="6">
        <f>IF(ISNUMBER(L20),기준값!$B$8+L20,"-")</f>
        <v>436153.84615384613</v>
      </c>
      <c r="O20" s="6">
        <f t="shared" si="1"/>
        <v>25432.278846153873</v>
      </c>
      <c r="P20" s="6">
        <f>IF(ISNUMBER(O20),O20*기준값!$B$19,"-")</f>
        <v>1653098.1250000019</v>
      </c>
    </row>
    <row r="21" spans="1:16" ht="14.25" customHeight="1">
      <c r="A21" s="9">
        <v>120</v>
      </c>
      <c r="B21" s="10">
        <f>A21*기준값!$B$7</f>
        <v>465465</v>
      </c>
      <c r="C21" s="11" t="str">
        <f>IF(기준값!$B$18&lt;기준값!$B$11,"두수기준미달",IF(기준값!$B$18&gt;=기준값!$B$12,IF(A21&gt;=기준값!$B$13,"인센티브","기본(두수만 충족)"),IF(A21&gt;=기준값!$B$13,"기본","패널티")))</f>
        <v>기본</v>
      </c>
      <c r="D21" s="12">
        <f>IF(기준값!$B$18&lt;기준값!$B$11,"-",IF(기준값!$B$18&gt;=기준값!$B$12,IF(A21&gt;=기준값!$B$13,기준값!$B$14,기준값!$B$16),IF(A21&gt;=기준값!$B$13,기준값!$B$16,기준값!$B$15)))</f>
        <v>1</v>
      </c>
      <c r="E21" s="10">
        <f>IFERROR(IF(ISNUMBER(D21),기준값!$B$10*D21/기준값!$B$18,"-"),"-")</f>
        <v>13333.333333333334</v>
      </c>
      <c r="F21" s="6">
        <f>IF(ISNUMBER(E21),E21*기준값!$B$18,"-")</f>
        <v>400000</v>
      </c>
      <c r="G21" s="10">
        <f>IF(ISNUMBER(E21),기준값!$B$8+E21,"-")</f>
        <v>443333.33333333331</v>
      </c>
      <c r="H21" s="10">
        <f t="shared" si="0"/>
        <v>22131.666666666686</v>
      </c>
      <c r="I21" s="10">
        <f>IF(ISNUMBER(H21),H21*기준값!$B$18,"-")</f>
        <v>663950.00000000058</v>
      </c>
      <c r="J21" s="11" t="str">
        <f>IF(기준값!$B$19&lt;기준값!$B$11,"두수기준미달",IF(기준값!$B$19&gt;=기준값!$B$12,IF(A21&gt;=기준값!$B$13,"인센티브","기본(두수만 충족)"),IF(A21&gt;=기준값!$B$13,"기본","패널티")))</f>
        <v>인센티브</v>
      </c>
      <c r="K21" s="12">
        <f>IF(기준값!$B$19&lt;기준값!$B$11,"-",IF(기준값!$B$19&gt;=기준값!$B$12,IF(A21&gt;=기준값!$B$13,기준값!$B$14,기준값!$B$16),IF(A21&gt;=기준값!$B$13,기준값!$B$16,기준값!$B$15)))</f>
        <v>1</v>
      </c>
      <c r="L21" s="10">
        <f>IFERROR(IF(ISNUMBER(K21),기준값!$B$10*K21/기준값!$B$19,"-"),"-")</f>
        <v>6153.8461538461543</v>
      </c>
      <c r="M21" s="6">
        <f>IF(ISNUMBER(L21),L21*기준값!$B$19,"-")</f>
        <v>400000</v>
      </c>
      <c r="N21" s="10">
        <f>IF(ISNUMBER(L21),기준값!$B$8+L21,"-")</f>
        <v>436153.84615384613</v>
      </c>
      <c r="O21" s="10">
        <f t="shared" si="1"/>
        <v>29311.153846153873</v>
      </c>
      <c r="P21" s="10">
        <f>IF(ISNUMBER(O21),O21*기준값!$B$19,"-")</f>
        <v>1905225.0000000019</v>
      </c>
    </row>
    <row r="22" spans="1:16" ht="14.25" customHeight="1">
      <c r="A22" s="5">
        <v>121</v>
      </c>
      <c r="B22" s="6">
        <f>A22*기준값!$B$7</f>
        <v>469343.875</v>
      </c>
      <c r="C22" s="7" t="str">
        <f>IF(기준값!$B$18&lt;기준값!$B$11,"두수기준미달",IF(기준값!$B$18&gt;=기준값!$B$12,IF(A22&gt;=기준값!$B$13,"인센티브","기본(두수만 충족)"),IF(A22&gt;=기준값!$B$13,"기본","패널티")))</f>
        <v>기본</v>
      </c>
      <c r="D22" s="8">
        <f>IF(기준값!$B$18&lt;기준값!$B$11,"-",IF(기준값!$B$18&gt;=기준값!$B$12,IF(A22&gt;=기준값!$B$13,기준값!$B$14,기준값!$B$16),IF(A22&gt;=기준값!$B$13,기준값!$B$16,기준값!$B$15)))</f>
        <v>1</v>
      </c>
      <c r="E22" s="6">
        <f>IFERROR(IF(ISNUMBER(D22),기준값!$B$10*D22/기준값!$B$18,"-"),"-")</f>
        <v>13333.333333333334</v>
      </c>
      <c r="F22" s="6">
        <f>IF(ISNUMBER(E22),E22*기준값!$B$18,"-")</f>
        <v>400000</v>
      </c>
      <c r="G22" s="6">
        <f>IF(ISNUMBER(E22),기준값!$B$8+E22,"-")</f>
        <v>443333.33333333331</v>
      </c>
      <c r="H22" s="6">
        <f t="shared" si="0"/>
        <v>26010.541666666686</v>
      </c>
      <c r="I22" s="6">
        <f>IF(ISNUMBER(H22),H22*기준값!$B$18,"-")</f>
        <v>780316.25000000058</v>
      </c>
      <c r="J22" s="7" t="str">
        <f>IF(기준값!$B$19&lt;기준값!$B$11,"두수기준미달",IF(기준값!$B$19&gt;=기준값!$B$12,IF(A22&gt;=기준값!$B$13,"인센티브","기본(두수만 충족)"),IF(A22&gt;=기준값!$B$13,"기본","패널티")))</f>
        <v>인센티브</v>
      </c>
      <c r="K22" s="8">
        <f>IF(기준값!$B$19&lt;기준값!$B$11,"-",IF(기준값!$B$19&gt;=기준값!$B$12,IF(A22&gt;=기준값!$B$13,기준값!$B$14,기준값!$B$16),IF(A22&gt;=기준값!$B$13,기준값!$B$16,기준값!$B$15)))</f>
        <v>1</v>
      </c>
      <c r="L22" s="6">
        <f>IFERROR(IF(ISNUMBER(K22),기준값!$B$10*K22/기준값!$B$19,"-"),"-")</f>
        <v>6153.8461538461543</v>
      </c>
      <c r="M22" s="6">
        <f>IF(ISNUMBER(L22),L22*기준값!$B$19,"-")</f>
        <v>400000</v>
      </c>
      <c r="N22" s="6">
        <f>IF(ISNUMBER(L22),기준값!$B$8+L22,"-")</f>
        <v>436153.84615384613</v>
      </c>
      <c r="O22" s="6">
        <f t="shared" si="1"/>
        <v>33190.028846153873</v>
      </c>
      <c r="P22" s="6">
        <f>IF(ISNUMBER(O22),O22*기준값!$B$19,"-")</f>
        <v>2157351.8750000019</v>
      </c>
    </row>
    <row r="23" spans="1:16" ht="14.25" customHeight="1">
      <c r="A23" s="9">
        <v>122</v>
      </c>
      <c r="B23" s="10">
        <f>A23*기준값!$B$7</f>
        <v>473222.75</v>
      </c>
      <c r="C23" s="11" t="str">
        <f>IF(기준값!$B$18&lt;기준값!$B$11,"두수기준미달",IF(기준값!$B$18&gt;=기준값!$B$12,IF(A23&gt;=기준값!$B$13,"인센티브","기본(두수만 충족)"),IF(A23&gt;=기준값!$B$13,"기본","패널티")))</f>
        <v>기본</v>
      </c>
      <c r="D23" s="12">
        <f>IF(기준값!$B$18&lt;기준값!$B$11,"-",IF(기준값!$B$18&gt;=기준값!$B$12,IF(A23&gt;=기준값!$B$13,기준값!$B$14,기준값!$B$16),IF(A23&gt;=기준값!$B$13,기준값!$B$16,기준값!$B$15)))</f>
        <v>1</v>
      </c>
      <c r="E23" s="10">
        <f>IFERROR(IF(ISNUMBER(D23),기준값!$B$10*D23/기준값!$B$18,"-"),"-")</f>
        <v>13333.333333333334</v>
      </c>
      <c r="F23" s="6">
        <f>IF(ISNUMBER(E23),E23*기준값!$B$18,"-")</f>
        <v>400000</v>
      </c>
      <c r="G23" s="10">
        <f>IF(ISNUMBER(E23),기준값!$B$8+E23,"-")</f>
        <v>443333.33333333331</v>
      </c>
      <c r="H23" s="10">
        <f t="shared" si="0"/>
        <v>29889.416666666686</v>
      </c>
      <c r="I23" s="10">
        <f>IF(ISNUMBER(H23),H23*기준값!$B$18,"-")</f>
        <v>896682.50000000058</v>
      </c>
      <c r="J23" s="11" t="str">
        <f>IF(기준값!$B$19&lt;기준값!$B$11,"두수기준미달",IF(기준값!$B$19&gt;=기준값!$B$12,IF(A23&gt;=기준값!$B$13,"인센티브","기본(두수만 충족)"),IF(A23&gt;=기준값!$B$13,"기본","패널티")))</f>
        <v>인센티브</v>
      </c>
      <c r="K23" s="12">
        <f>IF(기준값!$B$19&lt;기준값!$B$11,"-",IF(기준값!$B$19&gt;=기준값!$B$12,IF(A23&gt;=기준값!$B$13,기준값!$B$14,기준값!$B$16),IF(A23&gt;=기준값!$B$13,기준값!$B$16,기준값!$B$15)))</f>
        <v>1</v>
      </c>
      <c r="L23" s="10">
        <f>IFERROR(IF(ISNUMBER(K23),기준값!$B$10*K23/기준값!$B$19,"-"),"-")</f>
        <v>6153.8461538461543</v>
      </c>
      <c r="M23" s="6">
        <f>IF(ISNUMBER(L23),L23*기준값!$B$19,"-")</f>
        <v>400000</v>
      </c>
      <c r="N23" s="10">
        <f>IF(ISNUMBER(L23),기준값!$B$8+L23,"-")</f>
        <v>436153.84615384613</v>
      </c>
      <c r="O23" s="10">
        <f t="shared" si="1"/>
        <v>37068.903846153873</v>
      </c>
      <c r="P23" s="10">
        <f>IF(ISNUMBER(O23),O23*기준값!$B$19,"-")</f>
        <v>2409478.7500000019</v>
      </c>
    </row>
    <row r="24" spans="1:16" ht="14.25" customHeight="1">
      <c r="A24" s="5">
        <v>123</v>
      </c>
      <c r="B24" s="6">
        <f>A24*기준값!$B$7</f>
        <v>477101.625</v>
      </c>
      <c r="C24" s="7" t="str">
        <f>IF(기준값!$B$18&lt;기준값!$B$11,"두수기준미달",IF(기준값!$B$18&gt;=기준값!$B$12,IF(A24&gt;=기준값!$B$13,"인센티브","기본(두수만 충족)"),IF(A24&gt;=기준값!$B$13,"기본","패널티")))</f>
        <v>기본</v>
      </c>
      <c r="D24" s="8">
        <f>IF(기준값!$B$18&lt;기준값!$B$11,"-",IF(기준값!$B$18&gt;=기준값!$B$12,IF(A24&gt;=기준값!$B$13,기준값!$B$14,기준값!$B$16),IF(A24&gt;=기준값!$B$13,기준값!$B$16,기준값!$B$15)))</f>
        <v>1</v>
      </c>
      <c r="E24" s="6">
        <f>IFERROR(IF(ISNUMBER(D24),기준값!$B$10*D24/기준값!$B$18,"-"),"-")</f>
        <v>13333.333333333334</v>
      </c>
      <c r="F24" s="6">
        <f>IF(ISNUMBER(E24),E24*기준값!$B$18,"-")</f>
        <v>400000</v>
      </c>
      <c r="G24" s="6">
        <f>IF(ISNUMBER(E24),기준값!$B$8+E24,"-")</f>
        <v>443333.33333333331</v>
      </c>
      <c r="H24" s="6">
        <f t="shared" si="0"/>
        <v>33768.291666666686</v>
      </c>
      <c r="I24" s="6">
        <f>IF(ISNUMBER(H24),H24*기준값!$B$18,"-")</f>
        <v>1013048.7500000006</v>
      </c>
      <c r="J24" s="7" t="str">
        <f>IF(기준값!$B$19&lt;기준값!$B$11,"두수기준미달",IF(기준값!$B$19&gt;=기준값!$B$12,IF(A24&gt;=기준값!$B$13,"인센티브","기본(두수만 충족)"),IF(A24&gt;=기준값!$B$13,"기본","패널티")))</f>
        <v>인센티브</v>
      </c>
      <c r="K24" s="8">
        <f>IF(기준값!$B$19&lt;기준값!$B$11,"-",IF(기준값!$B$19&gt;=기준값!$B$12,IF(A24&gt;=기준값!$B$13,기준값!$B$14,기준값!$B$16),IF(A24&gt;=기준값!$B$13,기준값!$B$16,기준값!$B$15)))</f>
        <v>1</v>
      </c>
      <c r="L24" s="6">
        <f>IFERROR(IF(ISNUMBER(K24),기준값!$B$10*K24/기준값!$B$19,"-"),"-")</f>
        <v>6153.8461538461543</v>
      </c>
      <c r="M24" s="6">
        <f>IF(ISNUMBER(L24),L24*기준값!$B$19,"-")</f>
        <v>400000</v>
      </c>
      <c r="N24" s="6">
        <f>IF(ISNUMBER(L24),기준값!$B$8+L24,"-")</f>
        <v>436153.84615384613</v>
      </c>
      <c r="O24" s="6">
        <f t="shared" si="1"/>
        <v>40947.778846153873</v>
      </c>
      <c r="P24" s="6">
        <f>IF(ISNUMBER(O24),O24*기준값!$B$19,"-")</f>
        <v>2661605.6250000019</v>
      </c>
    </row>
    <row r="25" spans="1:16" ht="14.25" customHeight="1">
      <c r="A25" s="9">
        <v>124</v>
      </c>
      <c r="B25" s="10">
        <f>A25*기준값!$B$7</f>
        <v>480980.5</v>
      </c>
      <c r="C25" s="11" t="str">
        <f>IF(기준값!$B$18&lt;기준값!$B$11,"두수기준미달",IF(기준값!$B$18&gt;=기준값!$B$12,IF(A25&gt;=기준값!$B$13,"인센티브","기본(두수만 충족)"),IF(A25&gt;=기준값!$B$13,"기본","패널티")))</f>
        <v>기본</v>
      </c>
      <c r="D25" s="12">
        <f>IF(기준값!$B$18&lt;기준값!$B$11,"-",IF(기준값!$B$18&gt;=기준값!$B$12,IF(A25&gt;=기준값!$B$13,기준값!$B$14,기준값!$B$16),IF(A25&gt;=기준값!$B$13,기준값!$B$16,기준값!$B$15)))</f>
        <v>1</v>
      </c>
      <c r="E25" s="10">
        <f>IFERROR(IF(ISNUMBER(D25),기준값!$B$10*D25/기준값!$B$18,"-"),"-")</f>
        <v>13333.333333333334</v>
      </c>
      <c r="F25" s="6">
        <f>IF(ISNUMBER(E25),E25*기준값!$B$18,"-")</f>
        <v>400000</v>
      </c>
      <c r="G25" s="10">
        <f>IF(ISNUMBER(E25),기준값!$B$8+E25,"-")</f>
        <v>443333.33333333331</v>
      </c>
      <c r="H25" s="10">
        <f t="shared" si="0"/>
        <v>37647.166666666686</v>
      </c>
      <c r="I25" s="10">
        <f>IF(ISNUMBER(H25),H25*기준값!$B$18,"-")</f>
        <v>1129415.0000000005</v>
      </c>
      <c r="J25" s="11" t="str">
        <f>IF(기준값!$B$19&lt;기준값!$B$11,"두수기준미달",IF(기준값!$B$19&gt;=기준값!$B$12,IF(A25&gt;=기준값!$B$13,"인센티브","기본(두수만 충족)"),IF(A25&gt;=기준값!$B$13,"기본","패널티")))</f>
        <v>인센티브</v>
      </c>
      <c r="K25" s="12">
        <f>IF(기준값!$B$19&lt;기준값!$B$11,"-",IF(기준값!$B$19&gt;=기준값!$B$12,IF(A25&gt;=기준값!$B$13,기준값!$B$14,기준값!$B$16),IF(A25&gt;=기준값!$B$13,기준값!$B$16,기준값!$B$15)))</f>
        <v>1</v>
      </c>
      <c r="L25" s="10">
        <f>IFERROR(IF(ISNUMBER(K25),기준값!$B$10*K25/기준값!$B$19,"-"),"-")</f>
        <v>6153.8461538461543</v>
      </c>
      <c r="M25" s="6">
        <f>IF(ISNUMBER(L25),L25*기준값!$B$19,"-")</f>
        <v>400000</v>
      </c>
      <c r="N25" s="10">
        <f>IF(ISNUMBER(L25),기준값!$B$8+L25,"-")</f>
        <v>436153.84615384613</v>
      </c>
      <c r="O25" s="10">
        <f t="shared" si="1"/>
        <v>44826.653846153873</v>
      </c>
      <c r="P25" s="10">
        <f>IF(ISNUMBER(O25),O25*기준값!$B$19,"-")</f>
        <v>2913732.5000000019</v>
      </c>
    </row>
    <row r="26" spans="1:16" ht="14.25" customHeight="1">
      <c r="A26" s="5">
        <v>125</v>
      </c>
      <c r="B26" s="6">
        <f>A26*기준값!$B$7</f>
        <v>484859.375</v>
      </c>
      <c r="C26" s="7" t="str">
        <f>IF(기준값!$B$18&lt;기준값!$B$11,"두수기준미달",IF(기준값!$B$18&gt;=기준값!$B$12,IF(A26&gt;=기준값!$B$13,"인센티브","기본(두수만 충족)"),IF(A26&gt;=기준값!$B$13,"기본","패널티")))</f>
        <v>기본</v>
      </c>
      <c r="D26" s="8">
        <f>IF(기준값!$B$18&lt;기준값!$B$11,"-",IF(기준값!$B$18&gt;=기준값!$B$12,IF(A26&gt;=기준값!$B$13,기준값!$B$14,기준값!$B$16),IF(A26&gt;=기준값!$B$13,기준값!$B$16,기준값!$B$15)))</f>
        <v>1</v>
      </c>
      <c r="E26" s="6">
        <f>IFERROR(IF(ISNUMBER(D26),기준값!$B$10*D26/기준값!$B$18,"-"),"-")</f>
        <v>13333.333333333334</v>
      </c>
      <c r="F26" s="6">
        <f>IF(ISNUMBER(E26),E26*기준값!$B$18,"-")</f>
        <v>400000</v>
      </c>
      <c r="G26" s="6">
        <f>IF(ISNUMBER(E26),기준값!$B$8+E26,"-")</f>
        <v>443333.33333333331</v>
      </c>
      <c r="H26" s="6">
        <f t="shared" si="0"/>
        <v>41526.041666666686</v>
      </c>
      <c r="I26" s="6">
        <f>IF(ISNUMBER(H26),H26*기준값!$B$18,"-")</f>
        <v>1245781.2500000005</v>
      </c>
      <c r="J26" s="7" t="str">
        <f>IF(기준값!$B$19&lt;기준값!$B$11,"두수기준미달",IF(기준값!$B$19&gt;=기준값!$B$12,IF(A26&gt;=기준값!$B$13,"인센티브","기본(두수만 충족)"),IF(A26&gt;=기준값!$B$13,"기본","패널티")))</f>
        <v>인센티브</v>
      </c>
      <c r="K26" s="8">
        <f>IF(기준값!$B$19&lt;기준값!$B$11,"-",IF(기준값!$B$19&gt;=기준값!$B$12,IF(A26&gt;=기준값!$B$13,기준값!$B$14,기준값!$B$16),IF(A26&gt;=기준값!$B$13,기준값!$B$16,기준값!$B$15)))</f>
        <v>1</v>
      </c>
      <c r="L26" s="6">
        <f>IFERROR(IF(ISNUMBER(K26),기준값!$B$10*K26/기준값!$B$19,"-"),"-")</f>
        <v>6153.8461538461543</v>
      </c>
      <c r="M26" s="6">
        <f>IF(ISNUMBER(L26),L26*기준값!$B$19,"-")</f>
        <v>400000</v>
      </c>
      <c r="N26" s="6">
        <f>IF(ISNUMBER(L26),기준값!$B$8+L26,"-")</f>
        <v>436153.84615384613</v>
      </c>
      <c r="O26" s="6">
        <f t="shared" si="1"/>
        <v>48705.528846153873</v>
      </c>
      <c r="P26" s="6">
        <f>IF(ISNUMBER(O26),O26*기준값!$B$19,"-")</f>
        <v>3165859.3750000019</v>
      </c>
    </row>
    <row r="28" spans="1:16" ht="14.25" customHeight="1">
      <c r="A28" s="3" t="s">
        <v>11</v>
      </c>
    </row>
  </sheetData>
  <mergeCells count="2">
    <mergeCell ref="B4:I4"/>
    <mergeCell ref="J4:P4"/>
  </mergeCells>
  <phoneticPr fontId="14" type="noConversion"/>
  <conditionalFormatting sqref="H6:I26">
    <cfRule type="cellIs" dxfId="4" priority="2" operator="lessThan">
      <formula>0</formula>
    </cfRule>
    <cfRule type="cellIs" dxfId="3" priority="3" operator="greaterThan">
      <formula>0</formula>
    </cfRule>
  </conditionalFormatting>
  <conditionalFormatting sqref="O6:P26">
    <cfRule type="cellIs" dxfId="2" priority="4" operator="lessThan">
      <formula>0</formula>
    </cfRule>
    <cfRule type="cellIs" dxfId="1" priority="5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zoomScaleNormal="100" workbookViewId="0">
      <selection activeCell="C9" sqref="C9"/>
    </sheetView>
  </sheetViews>
  <sheetFormatPr defaultColWidth="8.5546875" defaultRowHeight="14.4"/>
  <cols>
    <col min="1" max="1" width="16" style="1" customWidth="1"/>
    <col min="2" max="2" width="13" style="1" customWidth="1"/>
    <col min="3" max="4" width="16" style="1" customWidth="1"/>
    <col min="5" max="5" width="13" style="1" customWidth="1"/>
    <col min="6" max="6" width="34" style="1" customWidth="1"/>
  </cols>
  <sheetData>
    <row r="1" spans="1:6" ht="17.25" customHeight="1">
      <c r="A1" s="2" t="s">
        <v>49</v>
      </c>
    </row>
    <row r="2" spans="1:6" ht="14.25" customHeight="1">
      <c r="A2" s="24" t="s">
        <v>50</v>
      </c>
    </row>
    <row r="4" spans="1:6" ht="14.25" customHeight="1">
      <c r="A4" s="25" t="s">
        <v>51</v>
      </c>
      <c r="B4" s="25" t="s">
        <v>52</v>
      </c>
      <c r="C4" s="25" t="s">
        <v>53</v>
      </c>
      <c r="D4" s="25" t="s">
        <v>54</v>
      </c>
      <c r="E4" s="25" t="s">
        <v>55</v>
      </c>
      <c r="F4" s="25" t="s">
        <v>16</v>
      </c>
    </row>
    <row r="5" spans="1:6" ht="14.25" customHeight="1">
      <c r="A5" s="26" t="s">
        <v>56</v>
      </c>
      <c r="B5" s="27">
        <v>0</v>
      </c>
      <c r="C5" s="6">
        <v>300000</v>
      </c>
      <c r="D5" s="28">
        <v>300000</v>
      </c>
      <c r="E5" s="7" t="str">
        <f t="shared" ref="E5:E17" si="0">IF(C5="","신설","유지")</f>
        <v>유지</v>
      </c>
      <c r="F5" s="20" t="s">
        <v>57</v>
      </c>
    </row>
    <row r="6" spans="1:6" ht="14.25" customHeight="1">
      <c r="A6" s="26" t="s">
        <v>58</v>
      </c>
      <c r="B6" s="27">
        <v>41</v>
      </c>
      <c r="C6" s="6">
        <v>350000</v>
      </c>
      <c r="D6" s="28">
        <v>350000</v>
      </c>
      <c r="E6" s="7" t="str">
        <f t="shared" si="0"/>
        <v>유지</v>
      </c>
      <c r="F6" s="20" t="s">
        <v>57</v>
      </c>
    </row>
    <row r="7" spans="1:6" ht="14.25" customHeight="1">
      <c r="A7" s="26" t="s">
        <v>59</v>
      </c>
      <c r="B7" s="27">
        <v>81</v>
      </c>
      <c r="C7" s="6">
        <v>400000</v>
      </c>
      <c r="D7" s="28">
        <v>400000</v>
      </c>
      <c r="E7" s="7" t="str">
        <f t="shared" si="0"/>
        <v>유지</v>
      </c>
      <c r="F7" s="20" t="s">
        <v>57</v>
      </c>
    </row>
    <row r="8" spans="1:6" ht="14.25" customHeight="1">
      <c r="A8" s="26" t="s">
        <v>60</v>
      </c>
      <c r="B8" s="27">
        <v>121</v>
      </c>
      <c r="C8" s="6">
        <v>500000</v>
      </c>
      <c r="D8" s="28">
        <v>500000</v>
      </c>
      <c r="E8" s="7" t="str">
        <f t="shared" si="0"/>
        <v>유지</v>
      </c>
      <c r="F8" s="20" t="s">
        <v>57</v>
      </c>
    </row>
    <row r="9" spans="1:6" ht="14.25" customHeight="1">
      <c r="A9" s="26" t="s">
        <v>61</v>
      </c>
      <c r="B9" s="27">
        <v>151</v>
      </c>
      <c r="C9" s="6">
        <v>550000</v>
      </c>
      <c r="D9" s="28">
        <v>550000</v>
      </c>
      <c r="E9" s="7" t="str">
        <f t="shared" si="0"/>
        <v>유지</v>
      </c>
      <c r="F9" s="20" t="s">
        <v>57</v>
      </c>
    </row>
    <row r="10" spans="1:6" ht="14.25" customHeight="1">
      <c r="A10" s="29" t="s">
        <v>62</v>
      </c>
      <c r="B10" s="30">
        <v>181</v>
      </c>
      <c r="C10" s="14"/>
      <c r="D10" s="31">
        <v>600000</v>
      </c>
      <c r="E10" s="15" t="str">
        <f t="shared" si="0"/>
        <v>신설</v>
      </c>
      <c r="F10" s="32"/>
    </row>
    <row r="11" spans="1:6" ht="14.25" customHeight="1">
      <c r="A11" s="29" t="s">
        <v>63</v>
      </c>
      <c r="B11" s="30">
        <v>221</v>
      </c>
      <c r="C11" s="14"/>
      <c r="D11" s="31">
        <v>650000</v>
      </c>
      <c r="E11" s="15" t="str">
        <f t="shared" si="0"/>
        <v>신설</v>
      </c>
      <c r="F11" s="32"/>
    </row>
    <row r="12" spans="1:6" ht="14.25" customHeight="1">
      <c r="A12" s="29" t="s">
        <v>64</v>
      </c>
      <c r="B12" s="30">
        <v>261</v>
      </c>
      <c r="C12" s="14"/>
      <c r="D12" s="31">
        <v>700000</v>
      </c>
      <c r="E12" s="15" t="str">
        <f t="shared" si="0"/>
        <v>신설</v>
      </c>
      <c r="F12" s="32"/>
    </row>
    <row r="13" spans="1:6" ht="14.25" customHeight="1">
      <c r="A13" s="29" t="s">
        <v>65</v>
      </c>
      <c r="B13" s="30">
        <v>301</v>
      </c>
      <c r="C13" s="14"/>
      <c r="D13" s="31">
        <v>750000</v>
      </c>
      <c r="E13" s="15" t="str">
        <f t="shared" si="0"/>
        <v>신설</v>
      </c>
      <c r="F13" s="32" t="s">
        <v>66</v>
      </c>
    </row>
    <row r="14" spans="1:6" ht="14.25" customHeight="1">
      <c r="A14" s="29" t="s">
        <v>67</v>
      </c>
      <c r="B14" s="30">
        <v>341</v>
      </c>
      <c r="C14" s="14"/>
      <c r="D14" s="31">
        <v>800000</v>
      </c>
      <c r="E14" s="15" t="str">
        <f t="shared" si="0"/>
        <v>신설</v>
      </c>
      <c r="F14" s="33" t="s">
        <v>68</v>
      </c>
    </row>
    <row r="15" spans="1:6" ht="14.25" customHeight="1">
      <c r="A15" s="29" t="s">
        <v>69</v>
      </c>
      <c r="B15" s="30">
        <v>381</v>
      </c>
      <c r="C15" s="14"/>
      <c r="D15" s="31">
        <v>850000</v>
      </c>
      <c r="E15" s="15" t="str">
        <f t="shared" si="0"/>
        <v>신설</v>
      </c>
      <c r="F15" s="33" t="s">
        <v>68</v>
      </c>
    </row>
    <row r="16" spans="1:6" ht="14.25" customHeight="1">
      <c r="A16" s="29" t="s">
        <v>70</v>
      </c>
      <c r="B16" s="30">
        <v>421</v>
      </c>
      <c r="C16" s="14"/>
      <c r="D16" s="31">
        <v>900000</v>
      </c>
      <c r="E16" s="15" t="str">
        <f t="shared" si="0"/>
        <v>신설</v>
      </c>
      <c r="F16" s="33" t="s">
        <v>68</v>
      </c>
    </row>
    <row r="17" spans="1:6" ht="14.25" customHeight="1">
      <c r="A17" s="29" t="s">
        <v>71</v>
      </c>
      <c r="B17" s="30">
        <v>461</v>
      </c>
      <c r="C17" s="14"/>
      <c r="D17" s="31">
        <v>950000</v>
      </c>
      <c r="E17" s="15" t="str">
        <f t="shared" si="0"/>
        <v>신설</v>
      </c>
      <c r="F17" s="33" t="s">
        <v>72</v>
      </c>
    </row>
    <row r="19" spans="1:6" ht="14.25" customHeight="1">
      <c r="A19" s="23" t="s">
        <v>44</v>
      </c>
    </row>
    <row r="20" spans="1:6" ht="27.75" customHeight="1">
      <c r="A20" s="41" t="s">
        <v>73</v>
      </c>
      <c r="B20" s="41"/>
      <c r="C20" s="41"/>
      <c r="D20" s="41"/>
      <c r="E20" s="41"/>
      <c r="F20" s="41"/>
    </row>
    <row r="21" spans="1:6" ht="27.75" customHeight="1">
      <c r="A21" s="41" t="s">
        <v>74</v>
      </c>
      <c r="B21" s="41"/>
      <c r="C21" s="41"/>
      <c r="D21" s="41"/>
      <c r="E21" s="41"/>
      <c r="F21" s="41"/>
    </row>
  </sheetData>
  <mergeCells count="2">
    <mergeCell ref="A20:F20"/>
    <mergeCell ref="A21:F21"/>
  </mergeCells>
  <phoneticPr fontId="14" type="noConversion"/>
  <conditionalFormatting sqref="E5:E17">
    <cfRule type="cellIs" dxfId="0" priority="2" operator="equal">
      <formula>"신설"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zoomScaleNormal="100" workbookViewId="0">
      <selection activeCell="B16" sqref="B16"/>
    </sheetView>
  </sheetViews>
  <sheetFormatPr defaultColWidth="8.5546875" defaultRowHeight="14.4"/>
  <cols>
    <col min="1" max="1" width="34" style="1" customWidth="1"/>
    <col min="2" max="2" width="16" style="1" customWidth="1"/>
    <col min="3" max="3" width="46" style="1" customWidth="1"/>
  </cols>
  <sheetData>
    <row r="1" spans="1:3" ht="17.25" customHeight="1">
      <c r="A1" s="2" t="s">
        <v>12</v>
      </c>
    </row>
    <row r="2" spans="1:3" ht="14.25" customHeight="1">
      <c r="A2" s="3" t="s">
        <v>13</v>
      </c>
    </row>
    <row r="3" spans="1:3" ht="14.25" customHeight="1">
      <c r="A3" s="17" t="s">
        <v>14</v>
      </c>
      <c r="B3" s="17" t="s">
        <v>15</v>
      </c>
      <c r="C3" s="17" t="s">
        <v>16</v>
      </c>
    </row>
    <row r="4" spans="1:3" ht="14.25" customHeight="1">
      <c r="A4" s="18" t="s">
        <v>17</v>
      </c>
      <c r="B4" s="19">
        <v>6500</v>
      </c>
      <c r="C4" s="20" t="s">
        <v>18</v>
      </c>
    </row>
    <row r="5" spans="1:3" ht="14.25" customHeight="1">
      <c r="A5" s="18" t="s">
        <v>19</v>
      </c>
      <c r="B5" s="21">
        <v>0.77500000000000002</v>
      </c>
      <c r="C5" s="20" t="s">
        <v>20</v>
      </c>
    </row>
    <row r="6" spans="1:3" ht="14.25" customHeight="1">
      <c r="A6" s="18" t="s">
        <v>21</v>
      </c>
      <c r="B6" s="21">
        <v>0.77</v>
      </c>
      <c r="C6" s="20" t="s">
        <v>22</v>
      </c>
    </row>
    <row r="7" spans="1:3" ht="14.25" customHeight="1">
      <c r="A7" s="18" t="s">
        <v>23</v>
      </c>
      <c r="B7" s="6">
        <f>B4*B5*B6</f>
        <v>3878.875</v>
      </c>
      <c r="C7" s="20" t="s">
        <v>24</v>
      </c>
    </row>
    <row r="8" spans="1:3" ht="14.25" customHeight="1">
      <c r="A8" s="18" t="s">
        <v>25</v>
      </c>
      <c r="B8" s="19">
        <v>430000</v>
      </c>
      <c r="C8" s="20" t="s">
        <v>18</v>
      </c>
    </row>
    <row r="9" spans="1:3" ht="14.25" customHeight="1">
      <c r="A9" s="18" t="s">
        <v>26</v>
      </c>
      <c r="B9" s="19">
        <v>100</v>
      </c>
      <c r="C9" s="20" t="s">
        <v>27</v>
      </c>
    </row>
    <row r="10" spans="1:3" ht="14.25" customHeight="1">
      <c r="A10" s="18" t="s">
        <v>28</v>
      </c>
      <c r="B10" s="6">
        <f>INDEX(거리구간표!$D$5:$D$17,MATCH(B9,거리구간표!$B$5:$B$17,1))</f>
        <v>400000</v>
      </c>
      <c r="C10" s="22" t="s">
        <v>29</v>
      </c>
    </row>
    <row r="11" spans="1:3" ht="14.25" customHeight="1">
      <c r="A11" s="18" t="s">
        <v>30</v>
      </c>
      <c r="B11" s="19">
        <v>30</v>
      </c>
      <c r="C11" s="20" t="s">
        <v>31</v>
      </c>
    </row>
    <row r="12" spans="1:3" ht="14.25" customHeight="1">
      <c r="A12" s="18" t="s">
        <v>32</v>
      </c>
      <c r="B12" s="19">
        <v>60</v>
      </c>
      <c r="C12" s="20" t="s">
        <v>31</v>
      </c>
    </row>
    <row r="13" spans="1:3" ht="14.25" customHeight="1">
      <c r="A13" s="18" t="s">
        <v>33</v>
      </c>
      <c r="B13" s="19">
        <v>113</v>
      </c>
      <c r="C13" s="20" t="s">
        <v>31</v>
      </c>
    </row>
    <row r="14" spans="1:3" ht="14.25" customHeight="1">
      <c r="A14" s="18" t="s">
        <v>34</v>
      </c>
      <c r="B14" s="21">
        <v>1</v>
      </c>
      <c r="C14" s="20" t="s">
        <v>35</v>
      </c>
    </row>
    <row r="15" spans="1:3" ht="14.25" customHeight="1">
      <c r="A15" s="18" t="s">
        <v>36</v>
      </c>
      <c r="B15" s="21">
        <v>1</v>
      </c>
      <c r="C15" s="20" t="s">
        <v>37</v>
      </c>
    </row>
    <row r="16" spans="1:3" ht="14.25" customHeight="1">
      <c r="A16" s="18" t="s">
        <v>38</v>
      </c>
      <c r="B16" s="21">
        <v>1</v>
      </c>
      <c r="C16" s="20" t="s">
        <v>39</v>
      </c>
    </row>
    <row r="18" spans="1:3" ht="14.25" customHeight="1">
      <c r="A18" s="18" t="s">
        <v>40</v>
      </c>
      <c r="B18" s="19">
        <v>30</v>
      </c>
      <c r="C18" s="22" t="s">
        <v>41</v>
      </c>
    </row>
    <row r="19" spans="1:3" ht="14.25" customHeight="1">
      <c r="A19" s="18" t="s">
        <v>42</v>
      </c>
      <c r="B19" s="19">
        <v>65</v>
      </c>
      <c r="C19" s="22" t="s">
        <v>43</v>
      </c>
    </row>
    <row r="21" spans="1:3" ht="14.25" customHeight="1">
      <c r="A21" s="23" t="s">
        <v>44</v>
      </c>
    </row>
    <row r="22" spans="1:3" ht="27.75" customHeight="1">
      <c r="A22" s="41" t="s">
        <v>45</v>
      </c>
      <c r="B22" s="41"/>
      <c r="C22" s="41"/>
    </row>
    <row r="23" spans="1:3" ht="27.75" customHeight="1">
      <c r="A23" s="41" t="s">
        <v>46</v>
      </c>
      <c r="B23" s="41"/>
      <c r="C23" s="41"/>
    </row>
    <row r="24" spans="1:3" ht="27.75" customHeight="1">
      <c r="A24" s="41" t="s">
        <v>47</v>
      </c>
      <c r="B24" s="41"/>
      <c r="C24" s="41"/>
    </row>
    <row r="25" spans="1:3" ht="27.75" customHeight="1">
      <c r="A25" s="42" t="s">
        <v>48</v>
      </c>
      <c r="B25" s="42"/>
      <c r="C25" s="42"/>
    </row>
  </sheetData>
  <mergeCells count="4">
    <mergeCell ref="A22:C22"/>
    <mergeCell ref="A23:C23"/>
    <mergeCell ref="A24:C24"/>
    <mergeCell ref="A25:C25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7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60" sqref="O60"/>
    </sheetView>
  </sheetViews>
  <sheetFormatPr defaultColWidth="8.5546875" defaultRowHeight="14.4"/>
  <cols>
    <col min="1" max="1" width="12" style="1" customWidth="1"/>
    <col min="2" max="10" width="11" style="1" customWidth="1"/>
  </cols>
  <sheetData>
    <row r="1" spans="1:10" ht="17.25" customHeight="1">
      <c r="A1" s="2" t="s">
        <v>75</v>
      </c>
    </row>
    <row r="2" spans="1:10" ht="27.75" customHeight="1">
      <c r="A2" s="43" t="s">
        <v>76</v>
      </c>
      <c r="B2" s="43"/>
      <c r="C2" s="43"/>
      <c r="D2" s="43"/>
      <c r="E2" s="43"/>
      <c r="F2" s="43"/>
      <c r="G2" s="43"/>
      <c r="H2" s="43"/>
      <c r="I2" s="43"/>
      <c r="J2" s="43"/>
    </row>
    <row r="4" spans="1:10" ht="13.5" customHeight="1">
      <c r="A4" s="40" t="str">
        <f>"시나리오 A · 두수 "&amp;기준값!$B$18&amp;"두"</f>
        <v>시나리오 A · 두수 30두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25.5" customHeight="1">
      <c r="A5" s="4" t="s">
        <v>77</v>
      </c>
      <c r="B5" s="4" t="str">
        <f>거리구간표!$A$5</f>
        <v>~40km</v>
      </c>
      <c r="C5" s="4" t="str">
        <f>거리구간표!$A$6</f>
        <v>41~80km</v>
      </c>
      <c r="D5" s="4" t="str">
        <f>거리구간표!$A$7</f>
        <v>81~120km</v>
      </c>
      <c r="E5" s="4" t="str">
        <f>거리구간표!$A$8</f>
        <v>121~150km</v>
      </c>
      <c r="F5" s="4" t="str">
        <f>거리구간표!$A$9</f>
        <v>151~180km</v>
      </c>
      <c r="G5" s="4" t="str">
        <f>거리구간표!$A$10</f>
        <v>181~220km</v>
      </c>
      <c r="H5" s="4" t="str">
        <f>거리구간표!$A$11</f>
        <v>221~260km</v>
      </c>
      <c r="I5" s="4" t="str">
        <f>거리구간표!$A$12</f>
        <v>261~300km</v>
      </c>
      <c r="J5" s="4" t="str">
        <f>거리구간표!$A$13</f>
        <v>301~340km</v>
      </c>
    </row>
    <row r="6" spans="1:10" ht="14.25" customHeight="1">
      <c r="A6" s="34">
        <v>105</v>
      </c>
      <c r="B6" s="6">
        <f>$A6*기준값!$B$7-기준값!$B$8-(거리구간표!$D$5*(IF(기준값!$B$18&lt;기준값!$B$11,기준값!$B$16,IF(기준값!$B$18&gt;=기준값!$B$12,IF($A6&gt;=기준값!$B$13,기준값!$B$14,기준값!$B$16),IF($A6&gt;=기준값!$B$13,기준값!$B$16,기준값!$B$15)))))/기준값!$B$18</f>
        <v>-32718.125</v>
      </c>
      <c r="C6" s="6">
        <f>$A6*기준값!$B$7-기준값!$B$8-(거리구간표!$D$6*(IF(기준값!$B$18&lt;기준값!$B$11,기준값!$B$16,IF(기준값!$B$18&gt;=기준값!$B$12,IF($A6&gt;=기준값!$B$13,기준값!$B$14,기준값!$B$16),IF($A6&gt;=기준값!$B$13,기준값!$B$16,기준값!$B$15)))))/기준값!$B$18</f>
        <v>-34384.791666666664</v>
      </c>
      <c r="D6" s="6">
        <f>$A6*기준값!$B$7-기준값!$B$8-(거리구간표!$D$7*(IF(기준값!$B$18&lt;기준값!$B$11,기준값!$B$16,IF(기준값!$B$18&gt;=기준값!$B$12,IF($A6&gt;=기준값!$B$13,기준값!$B$14,기준값!$B$16),IF($A6&gt;=기준값!$B$13,기준값!$B$16,기준값!$B$15)))))/기준값!$B$18</f>
        <v>-36051.458333333336</v>
      </c>
      <c r="E6" s="6">
        <f>$A6*기준값!$B$7-기준값!$B$8-(거리구간표!$D$8*(IF(기준값!$B$18&lt;기준값!$B$11,기준값!$B$16,IF(기준값!$B$18&gt;=기준값!$B$12,IF($A6&gt;=기준값!$B$13,기준값!$B$14,기준값!$B$16),IF($A6&gt;=기준값!$B$13,기준값!$B$16,기준값!$B$15)))))/기준값!$B$18</f>
        <v>-39384.791666666672</v>
      </c>
      <c r="F6" s="6">
        <f>$A6*기준값!$B$7-기준값!$B$8-(거리구간표!$D$9*(IF(기준값!$B$18&lt;기준값!$B$11,기준값!$B$16,IF(기준값!$B$18&gt;=기준값!$B$12,IF($A6&gt;=기준값!$B$13,기준값!$B$14,기준값!$B$16),IF($A6&gt;=기준값!$B$13,기준값!$B$16,기준값!$B$15)))))/기준값!$B$18</f>
        <v>-41051.458333333328</v>
      </c>
      <c r="G6" s="6">
        <f>$A6*기준값!$B$7-기준값!$B$8-(거리구간표!$D$10*(IF(기준값!$B$18&lt;기준값!$B$11,기준값!$B$16,IF(기준값!$B$18&gt;=기준값!$B$12,IF($A6&gt;=기준값!$B$13,기준값!$B$14,기준값!$B$16),IF($A6&gt;=기준값!$B$13,기준값!$B$16,기준값!$B$15)))))/기준값!$B$18</f>
        <v>-42718.125</v>
      </c>
      <c r="H6" s="6">
        <f>$A6*기준값!$B$7-기준값!$B$8-(거리구간표!$D$11*(IF(기준값!$B$18&lt;기준값!$B$11,기준값!$B$16,IF(기준값!$B$18&gt;=기준값!$B$12,IF($A6&gt;=기준값!$B$13,기준값!$B$14,기준값!$B$16),IF($A6&gt;=기준값!$B$13,기준값!$B$16,기준값!$B$15)))))/기준값!$B$18</f>
        <v>-44384.791666666672</v>
      </c>
      <c r="I6" s="6">
        <f>$A6*기준값!$B$7-기준값!$B$8-(거리구간표!$D$12*(IF(기준값!$B$18&lt;기준값!$B$11,기준값!$B$16,IF(기준값!$B$18&gt;=기준값!$B$12,IF($A6&gt;=기준값!$B$13,기준값!$B$14,기준값!$B$16),IF($A6&gt;=기준값!$B$13,기준값!$B$16,기준값!$B$15)))))/기준값!$B$18</f>
        <v>-46051.458333333328</v>
      </c>
      <c r="J6" s="6">
        <f>$A6*기준값!$B$7-기준값!$B$8-(거리구간표!$D$13*(IF(기준값!$B$18&lt;기준값!$B$11,기준값!$B$16,IF(기준값!$B$18&gt;=기준값!$B$12,IF($A6&gt;=기준값!$B$13,기준값!$B$14,기준값!$B$16),IF($A6&gt;=기준값!$B$13,기준값!$B$16,기준값!$B$15)))))/기준값!$B$18</f>
        <v>-47718.125</v>
      </c>
    </row>
    <row r="7" spans="1:10" ht="14.25" customHeight="1">
      <c r="A7" s="34">
        <v>106</v>
      </c>
      <c r="B7" s="6">
        <f>$A7*기준값!$B$7-기준값!$B$8-(거리구간표!$D$5*(IF(기준값!$B$18&lt;기준값!$B$11,기준값!$B$16,IF(기준값!$B$18&gt;=기준값!$B$12,IF($A7&gt;=기준값!$B$13,기준값!$B$14,기준값!$B$16),IF($A7&gt;=기준값!$B$13,기준값!$B$16,기준값!$B$15)))))/기준값!$B$18</f>
        <v>-28839.25</v>
      </c>
      <c r="C7" s="6">
        <f>$A7*기준값!$B$7-기준값!$B$8-(거리구간표!$D$6*(IF(기준값!$B$18&lt;기준값!$B$11,기준값!$B$16,IF(기준값!$B$18&gt;=기준값!$B$12,IF($A7&gt;=기준값!$B$13,기준값!$B$14,기준값!$B$16),IF($A7&gt;=기준값!$B$13,기준값!$B$16,기준값!$B$15)))))/기준값!$B$18</f>
        <v>-30505.916666666664</v>
      </c>
      <c r="D7" s="6">
        <f>$A7*기준값!$B$7-기준값!$B$8-(거리구간표!$D$7*(IF(기준값!$B$18&lt;기준값!$B$11,기준값!$B$16,IF(기준값!$B$18&gt;=기준값!$B$12,IF($A7&gt;=기준값!$B$13,기준값!$B$14,기준값!$B$16),IF($A7&gt;=기준값!$B$13,기준값!$B$16,기준값!$B$15)))))/기준값!$B$18</f>
        <v>-32172.583333333336</v>
      </c>
      <c r="E7" s="6">
        <f>$A7*기준값!$B$7-기준값!$B$8-(거리구간표!$D$8*(IF(기준값!$B$18&lt;기준값!$B$11,기준값!$B$16,IF(기준값!$B$18&gt;=기준값!$B$12,IF($A7&gt;=기준값!$B$13,기준값!$B$14,기준값!$B$16),IF($A7&gt;=기준값!$B$13,기준값!$B$16,기준값!$B$15)))))/기준값!$B$18</f>
        <v>-35505.916666666672</v>
      </c>
      <c r="F7" s="6">
        <f>$A7*기준값!$B$7-기준값!$B$8-(거리구간표!$D$9*(IF(기준값!$B$18&lt;기준값!$B$11,기준값!$B$16,IF(기준값!$B$18&gt;=기준값!$B$12,IF($A7&gt;=기준값!$B$13,기준값!$B$14,기준값!$B$16),IF($A7&gt;=기준값!$B$13,기준값!$B$16,기준값!$B$15)))))/기준값!$B$18</f>
        <v>-37172.583333333328</v>
      </c>
      <c r="G7" s="6">
        <f>$A7*기준값!$B$7-기준값!$B$8-(거리구간표!$D$10*(IF(기준값!$B$18&lt;기준값!$B$11,기준값!$B$16,IF(기준값!$B$18&gt;=기준값!$B$12,IF($A7&gt;=기준값!$B$13,기준값!$B$14,기준값!$B$16),IF($A7&gt;=기준값!$B$13,기준값!$B$16,기준값!$B$15)))))/기준값!$B$18</f>
        <v>-38839.25</v>
      </c>
      <c r="H7" s="6">
        <f>$A7*기준값!$B$7-기준값!$B$8-(거리구간표!$D$11*(IF(기준값!$B$18&lt;기준값!$B$11,기준값!$B$16,IF(기준값!$B$18&gt;=기준값!$B$12,IF($A7&gt;=기준값!$B$13,기준값!$B$14,기준값!$B$16),IF($A7&gt;=기준값!$B$13,기준값!$B$16,기준값!$B$15)))))/기준값!$B$18</f>
        <v>-40505.916666666672</v>
      </c>
      <c r="I7" s="6">
        <f>$A7*기준값!$B$7-기준값!$B$8-(거리구간표!$D$12*(IF(기준값!$B$18&lt;기준값!$B$11,기준값!$B$16,IF(기준값!$B$18&gt;=기준값!$B$12,IF($A7&gt;=기준값!$B$13,기준값!$B$14,기준값!$B$16),IF($A7&gt;=기준값!$B$13,기준값!$B$16,기준값!$B$15)))))/기준값!$B$18</f>
        <v>-42172.583333333328</v>
      </c>
      <c r="J7" s="6">
        <f>$A7*기준값!$B$7-기준값!$B$8-(거리구간표!$D$13*(IF(기준값!$B$18&lt;기준값!$B$11,기준값!$B$16,IF(기준값!$B$18&gt;=기준값!$B$12,IF($A7&gt;=기준값!$B$13,기준값!$B$14,기준값!$B$16),IF($A7&gt;=기준값!$B$13,기준값!$B$16,기준값!$B$15)))))/기준값!$B$18</f>
        <v>-43839.25</v>
      </c>
    </row>
    <row r="8" spans="1:10" ht="14.25" customHeight="1">
      <c r="A8" s="34">
        <v>107</v>
      </c>
      <c r="B8" s="6">
        <f>$A8*기준값!$B$7-기준값!$B$8-(거리구간표!$D$5*(IF(기준값!$B$18&lt;기준값!$B$11,기준값!$B$16,IF(기준값!$B$18&gt;=기준값!$B$12,IF($A8&gt;=기준값!$B$13,기준값!$B$14,기준값!$B$16),IF($A8&gt;=기준값!$B$13,기준값!$B$16,기준값!$B$15)))))/기준값!$B$18</f>
        <v>-24960.375</v>
      </c>
      <c r="C8" s="6">
        <f>$A8*기준값!$B$7-기준값!$B$8-(거리구간표!$D$6*(IF(기준값!$B$18&lt;기준값!$B$11,기준값!$B$16,IF(기준값!$B$18&gt;=기준값!$B$12,IF($A8&gt;=기준값!$B$13,기준값!$B$14,기준값!$B$16),IF($A8&gt;=기준값!$B$13,기준값!$B$16,기준값!$B$15)))))/기준값!$B$18</f>
        <v>-26627.041666666664</v>
      </c>
      <c r="D8" s="6">
        <f>$A8*기준값!$B$7-기준값!$B$8-(거리구간표!$D$7*(IF(기준값!$B$18&lt;기준값!$B$11,기준값!$B$16,IF(기준값!$B$18&gt;=기준값!$B$12,IF($A8&gt;=기준값!$B$13,기준값!$B$14,기준값!$B$16),IF($A8&gt;=기준값!$B$13,기준값!$B$16,기준값!$B$15)))))/기준값!$B$18</f>
        <v>-28293.708333333336</v>
      </c>
      <c r="E8" s="6">
        <f>$A8*기준값!$B$7-기준값!$B$8-(거리구간표!$D$8*(IF(기준값!$B$18&lt;기준값!$B$11,기준값!$B$16,IF(기준값!$B$18&gt;=기준값!$B$12,IF($A8&gt;=기준값!$B$13,기준값!$B$14,기준값!$B$16),IF($A8&gt;=기준값!$B$13,기준값!$B$16,기준값!$B$15)))))/기준값!$B$18</f>
        <v>-31627.041666666668</v>
      </c>
      <c r="F8" s="6">
        <f>$A8*기준값!$B$7-기준값!$B$8-(거리구간표!$D$9*(IF(기준값!$B$18&lt;기준값!$B$11,기준값!$B$16,IF(기준값!$B$18&gt;=기준값!$B$12,IF($A8&gt;=기준값!$B$13,기준값!$B$14,기준값!$B$16),IF($A8&gt;=기준값!$B$13,기준값!$B$16,기준값!$B$15)))))/기준값!$B$18</f>
        <v>-33293.708333333328</v>
      </c>
      <c r="G8" s="6">
        <f>$A8*기준값!$B$7-기준값!$B$8-(거리구간표!$D$10*(IF(기준값!$B$18&lt;기준값!$B$11,기준값!$B$16,IF(기준값!$B$18&gt;=기준값!$B$12,IF($A8&gt;=기준값!$B$13,기준값!$B$14,기준값!$B$16),IF($A8&gt;=기준값!$B$13,기준값!$B$16,기준값!$B$15)))))/기준값!$B$18</f>
        <v>-34960.375</v>
      </c>
      <c r="H8" s="6">
        <f>$A8*기준값!$B$7-기준값!$B$8-(거리구간표!$D$11*(IF(기준값!$B$18&lt;기준값!$B$11,기준값!$B$16,IF(기준값!$B$18&gt;=기준값!$B$12,IF($A8&gt;=기준값!$B$13,기준값!$B$14,기준값!$B$16),IF($A8&gt;=기준값!$B$13,기준값!$B$16,기준값!$B$15)))))/기준값!$B$18</f>
        <v>-36627.041666666672</v>
      </c>
      <c r="I8" s="6">
        <f>$A8*기준값!$B$7-기준값!$B$8-(거리구간표!$D$12*(IF(기준값!$B$18&lt;기준값!$B$11,기준값!$B$16,IF(기준값!$B$18&gt;=기준값!$B$12,IF($A8&gt;=기준값!$B$13,기준값!$B$14,기준값!$B$16),IF($A8&gt;=기준값!$B$13,기준값!$B$16,기준값!$B$15)))))/기준값!$B$18</f>
        <v>-38293.708333333328</v>
      </c>
      <c r="J8" s="6">
        <f>$A8*기준값!$B$7-기준값!$B$8-(거리구간표!$D$13*(IF(기준값!$B$18&lt;기준값!$B$11,기준값!$B$16,IF(기준값!$B$18&gt;=기준값!$B$12,IF($A8&gt;=기준값!$B$13,기준값!$B$14,기준값!$B$16),IF($A8&gt;=기준값!$B$13,기준값!$B$16,기준값!$B$15)))))/기준값!$B$18</f>
        <v>-39960.375</v>
      </c>
    </row>
    <row r="9" spans="1:10" ht="14.25" customHeight="1">
      <c r="A9" s="34">
        <v>108</v>
      </c>
      <c r="B9" s="6">
        <f>$A9*기준값!$B$7-기준값!$B$8-(거리구간표!$D$5*(IF(기준값!$B$18&lt;기준값!$B$11,기준값!$B$16,IF(기준값!$B$18&gt;=기준값!$B$12,IF($A9&gt;=기준값!$B$13,기준값!$B$14,기준값!$B$16),IF($A9&gt;=기준값!$B$13,기준값!$B$16,기준값!$B$15)))))/기준값!$B$18</f>
        <v>-21081.5</v>
      </c>
      <c r="C9" s="6">
        <f>$A9*기준값!$B$7-기준값!$B$8-(거리구간표!$D$6*(IF(기준값!$B$18&lt;기준값!$B$11,기준값!$B$16,IF(기준값!$B$18&gt;=기준값!$B$12,IF($A9&gt;=기준값!$B$13,기준값!$B$14,기준값!$B$16),IF($A9&gt;=기준값!$B$13,기준값!$B$16,기준값!$B$15)))))/기준값!$B$18</f>
        <v>-22748.166666666664</v>
      </c>
      <c r="D9" s="6">
        <f>$A9*기준값!$B$7-기준값!$B$8-(거리구간표!$D$7*(IF(기준값!$B$18&lt;기준값!$B$11,기준값!$B$16,IF(기준값!$B$18&gt;=기준값!$B$12,IF($A9&gt;=기준값!$B$13,기준값!$B$14,기준값!$B$16),IF($A9&gt;=기준값!$B$13,기준값!$B$16,기준값!$B$15)))))/기준값!$B$18</f>
        <v>-24414.833333333336</v>
      </c>
      <c r="E9" s="6">
        <f>$A9*기준값!$B$7-기준값!$B$8-(거리구간표!$D$8*(IF(기준값!$B$18&lt;기준값!$B$11,기준값!$B$16,IF(기준값!$B$18&gt;=기준값!$B$12,IF($A9&gt;=기준값!$B$13,기준값!$B$14,기준값!$B$16),IF($A9&gt;=기준값!$B$13,기준값!$B$16,기준값!$B$15)))))/기준값!$B$18</f>
        <v>-27748.166666666668</v>
      </c>
      <c r="F9" s="6">
        <f>$A9*기준값!$B$7-기준값!$B$8-(거리구간표!$D$9*(IF(기준값!$B$18&lt;기준값!$B$11,기준값!$B$16,IF(기준값!$B$18&gt;=기준값!$B$12,IF($A9&gt;=기준값!$B$13,기준값!$B$14,기준값!$B$16),IF($A9&gt;=기준값!$B$13,기준값!$B$16,기준값!$B$15)))))/기준값!$B$18</f>
        <v>-29414.833333333332</v>
      </c>
      <c r="G9" s="6">
        <f>$A9*기준값!$B$7-기준값!$B$8-(거리구간표!$D$10*(IF(기준값!$B$18&lt;기준값!$B$11,기준값!$B$16,IF(기준값!$B$18&gt;=기준값!$B$12,IF($A9&gt;=기준값!$B$13,기준값!$B$14,기준값!$B$16),IF($A9&gt;=기준값!$B$13,기준값!$B$16,기준값!$B$15)))))/기준값!$B$18</f>
        <v>-31081.5</v>
      </c>
      <c r="H9" s="6">
        <f>$A9*기준값!$B$7-기준값!$B$8-(거리구간표!$D$11*(IF(기준값!$B$18&lt;기준값!$B$11,기준값!$B$16,IF(기준값!$B$18&gt;=기준값!$B$12,IF($A9&gt;=기준값!$B$13,기준값!$B$14,기준값!$B$16),IF($A9&gt;=기준값!$B$13,기준값!$B$16,기준값!$B$15)))))/기준값!$B$18</f>
        <v>-32748.166666666668</v>
      </c>
      <c r="I9" s="6">
        <f>$A9*기준값!$B$7-기준값!$B$8-(거리구간표!$D$12*(IF(기준값!$B$18&lt;기준값!$B$11,기준값!$B$16,IF(기준값!$B$18&gt;=기준값!$B$12,IF($A9&gt;=기준값!$B$13,기준값!$B$14,기준값!$B$16),IF($A9&gt;=기준값!$B$13,기준값!$B$16,기준값!$B$15)))))/기준값!$B$18</f>
        <v>-34414.833333333328</v>
      </c>
      <c r="J9" s="6">
        <f>$A9*기준값!$B$7-기준값!$B$8-(거리구간표!$D$13*(IF(기준값!$B$18&lt;기준값!$B$11,기준값!$B$16,IF(기준값!$B$18&gt;=기준값!$B$12,IF($A9&gt;=기준값!$B$13,기준값!$B$14,기준값!$B$16),IF($A9&gt;=기준값!$B$13,기준값!$B$16,기준값!$B$15)))))/기준값!$B$18</f>
        <v>-36081.5</v>
      </c>
    </row>
    <row r="10" spans="1:10" ht="14.25" customHeight="1">
      <c r="A10" s="34">
        <v>109</v>
      </c>
      <c r="B10" s="6">
        <f>$A10*기준값!$B$7-기준값!$B$8-(거리구간표!$D$5*(IF(기준값!$B$18&lt;기준값!$B$11,기준값!$B$16,IF(기준값!$B$18&gt;=기준값!$B$12,IF($A10&gt;=기준값!$B$13,기준값!$B$14,기준값!$B$16),IF($A10&gt;=기준값!$B$13,기준값!$B$16,기준값!$B$15)))))/기준값!$B$18</f>
        <v>-17202.625</v>
      </c>
      <c r="C10" s="6">
        <f>$A10*기준값!$B$7-기준값!$B$8-(거리구간표!$D$6*(IF(기준값!$B$18&lt;기준값!$B$11,기준값!$B$16,IF(기준값!$B$18&gt;=기준값!$B$12,IF($A10&gt;=기준값!$B$13,기준값!$B$14,기준값!$B$16),IF($A10&gt;=기준값!$B$13,기준값!$B$16,기준값!$B$15)))))/기준값!$B$18</f>
        <v>-18869.291666666664</v>
      </c>
      <c r="D10" s="6">
        <f>$A10*기준값!$B$7-기준값!$B$8-(거리구간표!$D$7*(IF(기준값!$B$18&lt;기준값!$B$11,기준값!$B$16,IF(기준값!$B$18&gt;=기준값!$B$12,IF($A10&gt;=기준값!$B$13,기준값!$B$14,기준값!$B$16),IF($A10&gt;=기준값!$B$13,기준값!$B$16,기준값!$B$15)))))/기준값!$B$18</f>
        <v>-20535.958333333336</v>
      </c>
      <c r="E10" s="6">
        <f>$A10*기준값!$B$7-기준값!$B$8-(거리구간표!$D$8*(IF(기준값!$B$18&lt;기준값!$B$11,기준값!$B$16,IF(기준값!$B$18&gt;=기준값!$B$12,IF($A10&gt;=기준값!$B$13,기준값!$B$14,기준값!$B$16),IF($A10&gt;=기준값!$B$13,기준값!$B$16,기준값!$B$15)))))/기준값!$B$18</f>
        <v>-23869.291666666668</v>
      </c>
      <c r="F10" s="6">
        <f>$A10*기준값!$B$7-기준값!$B$8-(거리구간표!$D$9*(IF(기준값!$B$18&lt;기준값!$B$11,기준값!$B$16,IF(기준값!$B$18&gt;=기준값!$B$12,IF($A10&gt;=기준값!$B$13,기준값!$B$14,기준값!$B$16),IF($A10&gt;=기준값!$B$13,기준값!$B$16,기준값!$B$15)))))/기준값!$B$18</f>
        <v>-25535.958333333332</v>
      </c>
      <c r="G10" s="6">
        <f>$A10*기준값!$B$7-기준값!$B$8-(거리구간표!$D$10*(IF(기준값!$B$18&lt;기준값!$B$11,기준값!$B$16,IF(기준값!$B$18&gt;=기준값!$B$12,IF($A10&gt;=기준값!$B$13,기준값!$B$14,기준값!$B$16),IF($A10&gt;=기준값!$B$13,기준값!$B$16,기준값!$B$15)))))/기준값!$B$18</f>
        <v>-27202.625</v>
      </c>
      <c r="H10" s="6">
        <f>$A10*기준값!$B$7-기준값!$B$8-(거리구간표!$D$11*(IF(기준값!$B$18&lt;기준값!$B$11,기준값!$B$16,IF(기준값!$B$18&gt;=기준값!$B$12,IF($A10&gt;=기준값!$B$13,기준값!$B$14,기준값!$B$16),IF($A10&gt;=기준값!$B$13,기준값!$B$16,기준값!$B$15)))))/기준값!$B$18</f>
        <v>-28869.291666666668</v>
      </c>
      <c r="I10" s="6">
        <f>$A10*기준값!$B$7-기준값!$B$8-(거리구간표!$D$12*(IF(기준값!$B$18&lt;기준값!$B$11,기준값!$B$16,IF(기준값!$B$18&gt;=기준값!$B$12,IF($A10&gt;=기준값!$B$13,기준값!$B$14,기준값!$B$16),IF($A10&gt;=기준값!$B$13,기준값!$B$16,기준값!$B$15)))))/기준값!$B$18</f>
        <v>-30535.958333333332</v>
      </c>
      <c r="J10" s="6">
        <f>$A10*기준값!$B$7-기준값!$B$8-(거리구간표!$D$13*(IF(기준값!$B$18&lt;기준값!$B$11,기준값!$B$16,IF(기준값!$B$18&gt;=기준값!$B$12,IF($A10&gt;=기준값!$B$13,기준값!$B$14,기준값!$B$16),IF($A10&gt;=기준값!$B$13,기준값!$B$16,기준값!$B$15)))))/기준값!$B$18</f>
        <v>-32202.625</v>
      </c>
    </row>
    <row r="11" spans="1:10" ht="14.25" customHeight="1">
      <c r="A11" s="34">
        <v>110</v>
      </c>
      <c r="B11" s="6">
        <f>$A11*기준값!$B$7-기준값!$B$8-(거리구간표!$D$5*(IF(기준값!$B$18&lt;기준값!$B$11,기준값!$B$16,IF(기준값!$B$18&gt;=기준값!$B$12,IF($A11&gt;=기준값!$B$13,기준값!$B$14,기준값!$B$16),IF($A11&gt;=기준값!$B$13,기준값!$B$16,기준값!$B$15)))))/기준값!$B$18</f>
        <v>-13323.75</v>
      </c>
      <c r="C11" s="6">
        <f>$A11*기준값!$B$7-기준값!$B$8-(거리구간표!$D$6*(IF(기준값!$B$18&lt;기준값!$B$11,기준값!$B$16,IF(기준값!$B$18&gt;=기준값!$B$12,IF($A11&gt;=기준값!$B$13,기준값!$B$14,기준값!$B$16),IF($A11&gt;=기준값!$B$13,기준값!$B$16,기준값!$B$15)))))/기준값!$B$18</f>
        <v>-14990.416666666666</v>
      </c>
      <c r="D11" s="6">
        <f>$A11*기준값!$B$7-기준값!$B$8-(거리구간표!$D$7*(IF(기준값!$B$18&lt;기준값!$B$11,기준값!$B$16,IF(기준값!$B$18&gt;=기준값!$B$12,IF($A11&gt;=기준값!$B$13,기준값!$B$14,기준값!$B$16),IF($A11&gt;=기준값!$B$13,기준값!$B$16,기준값!$B$15)))))/기준값!$B$18</f>
        <v>-16657.083333333336</v>
      </c>
      <c r="E11" s="6">
        <f>$A11*기준값!$B$7-기준값!$B$8-(거리구간표!$D$8*(IF(기준값!$B$18&lt;기준값!$B$11,기준값!$B$16,IF(기준값!$B$18&gt;=기준값!$B$12,IF($A11&gt;=기준값!$B$13,기준값!$B$14,기준값!$B$16),IF($A11&gt;=기준값!$B$13,기준값!$B$16,기준값!$B$15)))))/기준값!$B$18</f>
        <v>-19990.416666666668</v>
      </c>
      <c r="F11" s="6">
        <f>$A11*기준값!$B$7-기준값!$B$8-(거리구간표!$D$9*(IF(기준값!$B$18&lt;기준값!$B$11,기준값!$B$16,IF(기준값!$B$18&gt;=기준값!$B$12,IF($A11&gt;=기준값!$B$13,기준값!$B$14,기준값!$B$16),IF($A11&gt;=기준값!$B$13,기준값!$B$16,기준값!$B$15)))))/기준값!$B$18</f>
        <v>-21657.083333333332</v>
      </c>
      <c r="G11" s="6">
        <f>$A11*기준값!$B$7-기준값!$B$8-(거리구간표!$D$10*(IF(기준값!$B$18&lt;기준값!$B$11,기준값!$B$16,IF(기준값!$B$18&gt;=기준값!$B$12,IF($A11&gt;=기준값!$B$13,기준값!$B$14,기준값!$B$16),IF($A11&gt;=기준값!$B$13,기준값!$B$16,기준값!$B$15)))))/기준값!$B$18</f>
        <v>-23323.75</v>
      </c>
      <c r="H11" s="6">
        <f>$A11*기준값!$B$7-기준값!$B$8-(거리구간표!$D$11*(IF(기준값!$B$18&lt;기준값!$B$11,기준값!$B$16,IF(기준값!$B$18&gt;=기준값!$B$12,IF($A11&gt;=기준값!$B$13,기준값!$B$14,기준값!$B$16),IF($A11&gt;=기준값!$B$13,기준값!$B$16,기준값!$B$15)))))/기준값!$B$18</f>
        <v>-24990.416666666668</v>
      </c>
      <c r="I11" s="6">
        <f>$A11*기준값!$B$7-기준값!$B$8-(거리구간표!$D$12*(IF(기준값!$B$18&lt;기준값!$B$11,기준값!$B$16,IF(기준값!$B$18&gt;=기준값!$B$12,IF($A11&gt;=기준값!$B$13,기준값!$B$14,기준값!$B$16),IF($A11&gt;=기준값!$B$13,기준값!$B$16,기준값!$B$15)))))/기준값!$B$18</f>
        <v>-26657.083333333332</v>
      </c>
      <c r="J11" s="6">
        <f>$A11*기준값!$B$7-기준값!$B$8-(거리구간표!$D$13*(IF(기준값!$B$18&lt;기준값!$B$11,기준값!$B$16,IF(기준값!$B$18&gt;=기준값!$B$12,IF($A11&gt;=기준값!$B$13,기준값!$B$14,기준값!$B$16),IF($A11&gt;=기준값!$B$13,기준값!$B$16,기준값!$B$15)))))/기준값!$B$18</f>
        <v>-28323.75</v>
      </c>
    </row>
    <row r="12" spans="1:10" ht="14.25" customHeight="1">
      <c r="A12" s="34">
        <v>111</v>
      </c>
      <c r="B12" s="6">
        <f>$A12*기준값!$B$7-기준값!$B$8-(거리구간표!$D$5*(IF(기준값!$B$18&lt;기준값!$B$11,기준값!$B$16,IF(기준값!$B$18&gt;=기준값!$B$12,IF($A12&gt;=기준값!$B$13,기준값!$B$14,기준값!$B$16),IF($A12&gt;=기준값!$B$13,기준값!$B$16,기준값!$B$15)))))/기준값!$B$18</f>
        <v>-9444.875</v>
      </c>
      <c r="C12" s="6">
        <f>$A12*기준값!$B$7-기준값!$B$8-(거리구간표!$D$6*(IF(기준값!$B$18&lt;기준값!$B$11,기준값!$B$16,IF(기준값!$B$18&gt;=기준값!$B$12,IF($A12&gt;=기준값!$B$13,기준값!$B$14,기준값!$B$16),IF($A12&gt;=기준값!$B$13,기준값!$B$16,기준값!$B$15)))))/기준값!$B$18</f>
        <v>-11111.541666666666</v>
      </c>
      <c r="D12" s="6">
        <f>$A12*기준값!$B$7-기준값!$B$8-(거리구간표!$D$7*(IF(기준값!$B$18&lt;기준값!$B$11,기준값!$B$16,IF(기준값!$B$18&gt;=기준값!$B$12,IF($A12&gt;=기준값!$B$13,기준값!$B$14,기준값!$B$16),IF($A12&gt;=기준값!$B$13,기준값!$B$16,기준값!$B$15)))))/기준값!$B$18</f>
        <v>-12778.208333333334</v>
      </c>
      <c r="E12" s="6">
        <f>$A12*기준값!$B$7-기준값!$B$8-(거리구간표!$D$8*(IF(기준값!$B$18&lt;기준값!$B$11,기준값!$B$16,IF(기준값!$B$18&gt;=기준값!$B$12,IF($A12&gt;=기준값!$B$13,기준값!$B$14,기준값!$B$16),IF($A12&gt;=기준값!$B$13,기준값!$B$16,기준값!$B$15)))))/기준값!$B$18</f>
        <v>-16111.541666666668</v>
      </c>
      <c r="F12" s="6">
        <f>$A12*기준값!$B$7-기준값!$B$8-(거리구간표!$D$9*(IF(기준값!$B$18&lt;기준값!$B$11,기준값!$B$16,IF(기준값!$B$18&gt;=기준값!$B$12,IF($A12&gt;=기준값!$B$13,기준값!$B$14,기준값!$B$16),IF($A12&gt;=기준값!$B$13,기준값!$B$16,기준값!$B$15)))))/기준값!$B$18</f>
        <v>-17778.208333333332</v>
      </c>
      <c r="G12" s="6">
        <f>$A12*기준값!$B$7-기준값!$B$8-(거리구간표!$D$10*(IF(기준값!$B$18&lt;기준값!$B$11,기준값!$B$16,IF(기준값!$B$18&gt;=기준값!$B$12,IF($A12&gt;=기준값!$B$13,기준값!$B$14,기준값!$B$16),IF($A12&gt;=기준값!$B$13,기준값!$B$16,기준값!$B$15)))))/기준값!$B$18</f>
        <v>-19444.875</v>
      </c>
      <c r="H12" s="6">
        <f>$A12*기준값!$B$7-기준값!$B$8-(거리구간표!$D$11*(IF(기준값!$B$18&lt;기준값!$B$11,기준값!$B$16,IF(기준값!$B$18&gt;=기준값!$B$12,IF($A12&gt;=기준값!$B$13,기준값!$B$14,기준값!$B$16),IF($A12&gt;=기준값!$B$13,기준값!$B$16,기준값!$B$15)))))/기준값!$B$18</f>
        <v>-21111.541666666668</v>
      </c>
      <c r="I12" s="6">
        <f>$A12*기준값!$B$7-기준값!$B$8-(거리구간표!$D$12*(IF(기준값!$B$18&lt;기준값!$B$11,기준값!$B$16,IF(기준값!$B$18&gt;=기준값!$B$12,IF($A12&gt;=기준값!$B$13,기준값!$B$14,기준값!$B$16),IF($A12&gt;=기준값!$B$13,기준값!$B$16,기준값!$B$15)))))/기준값!$B$18</f>
        <v>-22778.208333333332</v>
      </c>
      <c r="J12" s="6">
        <f>$A12*기준값!$B$7-기준값!$B$8-(거리구간표!$D$13*(IF(기준값!$B$18&lt;기준값!$B$11,기준값!$B$16,IF(기준값!$B$18&gt;=기준값!$B$12,IF($A12&gt;=기준값!$B$13,기준값!$B$14,기준값!$B$16),IF($A12&gt;=기준값!$B$13,기준값!$B$16,기준값!$B$15)))))/기준값!$B$18</f>
        <v>-24444.875</v>
      </c>
    </row>
    <row r="13" spans="1:10" ht="14.25" customHeight="1">
      <c r="A13" s="34">
        <v>112</v>
      </c>
      <c r="B13" s="6">
        <f>$A13*기준값!$B$7-기준값!$B$8-(거리구간표!$D$5*(IF(기준값!$B$18&lt;기준값!$B$11,기준값!$B$16,IF(기준값!$B$18&gt;=기준값!$B$12,IF($A13&gt;=기준값!$B$13,기준값!$B$14,기준값!$B$16),IF($A13&gt;=기준값!$B$13,기준값!$B$16,기준값!$B$15)))))/기준값!$B$18</f>
        <v>-5566</v>
      </c>
      <c r="C13" s="6">
        <f>$A13*기준값!$B$7-기준값!$B$8-(거리구간표!$D$6*(IF(기준값!$B$18&lt;기준값!$B$11,기준값!$B$16,IF(기준값!$B$18&gt;=기준값!$B$12,IF($A13&gt;=기준값!$B$13,기준값!$B$14,기준값!$B$16),IF($A13&gt;=기준값!$B$13,기준값!$B$16,기준값!$B$15)))))/기준값!$B$18</f>
        <v>-7232.6666666666661</v>
      </c>
      <c r="D13" s="6">
        <f>$A13*기준값!$B$7-기준값!$B$8-(거리구간표!$D$7*(IF(기준값!$B$18&lt;기준값!$B$11,기준값!$B$16,IF(기준값!$B$18&gt;=기준값!$B$12,IF($A13&gt;=기준값!$B$13,기준값!$B$14,기준값!$B$16),IF($A13&gt;=기준값!$B$13,기준값!$B$16,기준값!$B$15)))))/기준값!$B$18</f>
        <v>-8899.3333333333339</v>
      </c>
      <c r="E13" s="6">
        <f>$A13*기준값!$B$7-기준값!$B$8-(거리구간표!$D$8*(IF(기준값!$B$18&lt;기준값!$B$11,기준값!$B$16,IF(기준값!$B$18&gt;=기준값!$B$12,IF($A13&gt;=기준값!$B$13,기준값!$B$14,기준값!$B$16),IF($A13&gt;=기준값!$B$13,기준값!$B$16,기준값!$B$15)))))/기준값!$B$18</f>
        <v>-12232.666666666668</v>
      </c>
      <c r="F13" s="6">
        <f>$A13*기준값!$B$7-기준값!$B$8-(거리구간표!$D$9*(IF(기준값!$B$18&lt;기준값!$B$11,기준값!$B$16,IF(기준값!$B$18&gt;=기준값!$B$12,IF($A13&gt;=기준값!$B$13,기준값!$B$14,기준값!$B$16),IF($A13&gt;=기준값!$B$13,기준값!$B$16,기준값!$B$15)))))/기준값!$B$18</f>
        <v>-13899.333333333332</v>
      </c>
      <c r="G13" s="6">
        <f>$A13*기준값!$B$7-기준값!$B$8-(거리구간표!$D$10*(IF(기준값!$B$18&lt;기준값!$B$11,기준값!$B$16,IF(기준값!$B$18&gt;=기준값!$B$12,IF($A13&gt;=기준값!$B$13,기준값!$B$14,기준값!$B$16),IF($A13&gt;=기준값!$B$13,기준값!$B$16,기준값!$B$15)))))/기준값!$B$18</f>
        <v>-15566</v>
      </c>
      <c r="H13" s="6">
        <f>$A13*기준값!$B$7-기준값!$B$8-(거리구간표!$D$11*(IF(기준값!$B$18&lt;기준값!$B$11,기준값!$B$16,IF(기준값!$B$18&gt;=기준값!$B$12,IF($A13&gt;=기준값!$B$13,기준값!$B$14,기준값!$B$16),IF($A13&gt;=기준값!$B$13,기준값!$B$16,기준값!$B$15)))))/기준값!$B$18</f>
        <v>-17232.666666666668</v>
      </c>
      <c r="I13" s="6">
        <f>$A13*기준값!$B$7-기준값!$B$8-(거리구간표!$D$12*(IF(기준값!$B$18&lt;기준값!$B$11,기준값!$B$16,IF(기준값!$B$18&gt;=기준값!$B$12,IF($A13&gt;=기준값!$B$13,기준값!$B$14,기준값!$B$16),IF($A13&gt;=기준값!$B$13,기준값!$B$16,기준값!$B$15)))))/기준값!$B$18</f>
        <v>-18899.333333333332</v>
      </c>
      <c r="J13" s="6">
        <f>$A13*기준값!$B$7-기준값!$B$8-(거리구간표!$D$13*(IF(기준값!$B$18&lt;기준값!$B$11,기준값!$B$16,IF(기준값!$B$18&gt;=기준값!$B$12,IF($A13&gt;=기준값!$B$13,기준값!$B$14,기준값!$B$16),IF($A13&gt;=기준값!$B$13,기준값!$B$16,기준값!$B$15)))))/기준값!$B$18</f>
        <v>-20566</v>
      </c>
    </row>
    <row r="14" spans="1:10" ht="14.25" customHeight="1">
      <c r="A14" s="35">
        <v>113</v>
      </c>
      <c r="B14" s="14">
        <f>$A14*기준값!$B$7-기준값!$B$8-(거리구간표!$D$5*(IF(기준값!$B$18&lt;기준값!$B$11,기준값!$B$16,IF(기준값!$B$18&gt;=기준값!$B$12,IF($A14&gt;=기준값!$B$13,기준값!$B$14,기준값!$B$16),IF($A14&gt;=기준값!$B$13,기준값!$B$16,기준값!$B$15)))))/기준값!$B$18</f>
        <v>-1687.125</v>
      </c>
      <c r="C14" s="14">
        <f>$A14*기준값!$B$7-기준값!$B$8-(거리구간표!$D$6*(IF(기준값!$B$18&lt;기준값!$B$11,기준값!$B$16,IF(기준값!$B$18&gt;=기준값!$B$12,IF($A14&gt;=기준값!$B$13,기준값!$B$14,기준값!$B$16),IF($A14&gt;=기준값!$B$13,기준값!$B$16,기준값!$B$15)))))/기준값!$B$18</f>
        <v>-3353.7916666666661</v>
      </c>
      <c r="D14" s="14">
        <f>$A14*기준값!$B$7-기준값!$B$8-(거리구간표!$D$7*(IF(기준값!$B$18&lt;기준값!$B$11,기준값!$B$16,IF(기준값!$B$18&gt;=기준값!$B$12,IF($A14&gt;=기준값!$B$13,기준값!$B$14,기준값!$B$16),IF($A14&gt;=기준값!$B$13,기준값!$B$16,기준값!$B$15)))))/기준값!$B$18</f>
        <v>-5020.4583333333339</v>
      </c>
      <c r="E14" s="14">
        <f>$A14*기준값!$B$7-기준값!$B$8-(거리구간표!$D$8*(IF(기준값!$B$18&lt;기준값!$B$11,기준값!$B$16,IF(기준값!$B$18&gt;=기준값!$B$12,IF($A14&gt;=기준값!$B$13,기준값!$B$14,기준값!$B$16),IF($A14&gt;=기준값!$B$13,기준값!$B$16,기준값!$B$15)))))/기준값!$B$18</f>
        <v>-8353.7916666666679</v>
      </c>
      <c r="F14" s="14">
        <f>$A14*기준값!$B$7-기준값!$B$8-(거리구간표!$D$9*(IF(기준값!$B$18&lt;기준값!$B$11,기준값!$B$16,IF(기준값!$B$18&gt;=기준값!$B$12,IF($A14&gt;=기준값!$B$13,기준값!$B$14,기준값!$B$16),IF($A14&gt;=기준값!$B$13,기준값!$B$16,기준값!$B$15)))))/기준값!$B$18</f>
        <v>-10020.458333333332</v>
      </c>
      <c r="G14" s="14">
        <f>$A14*기준값!$B$7-기준값!$B$8-(거리구간표!$D$10*(IF(기준값!$B$18&lt;기준값!$B$11,기준값!$B$16,IF(기준값!$B$18&gt;=기준값!$B$12,IF($A14&gt;=기준값!$B$13,기준값!$B$14,기준값!$B$16),IF($A14&gt;=기준값!$B$13,기준값!$B$16,기준값!$B$15)))))/기준값!$B$18</f>
        <v>-11687.125</v>
      </c>
      <c r="H14" s="14">
        <f>$A14*기준값!$B$7-기준값!$B$8-(거리구간표!$D$11*(IF(기준값!$B$18&lt;기준값!$B$11,기준값!$B$16,IF(기준값!$B$18&gt;=기준값!$B$12,IF($A14&gt;=기준값!$B$13,기준값!$B$14,기준값!$B$16),IF($A14&gt;=기준값!$B$13,기준값!$B$16,기준값!$B$15)))))/기준값!$B$18</f>
        <v>-13353.791666666668</v>
      </c>
      <c r="I14" s="14">
        <f>$A14*기준값!$B$7-기준값!$B$8-(거리구간표!$D$12*(IF(기준값!$B$18&lt;기준값!$B$11,기준값!$B$16,IF(기준값!$B$18&gt;=기준값!$B$12,IF($A14&gt;=기준값!$B$13,기준값!$B$14,기준값!$B$16),IF($A14&gt;=기준값!$B$13,기준값!$B$16,기준값!$B$15)))))/기준값!$B$18</f>
        <v>-15020.458333333332</v>
      </c>
      <c r="J14" s="14">
        <f>$A14*기준값!$B$7-기준값!$B$8-(거리구간표!$D$13*(IF(기준값!$B$18&lt;기준값!$B$11,기준값!$B$16,IF(기준값!$B$18&gt;=기준값!$B$12,IF($A14&gt;=기준값!$B$13,기준값!$B$14,기준값!$B$16),IF($A14&gt;=기준값!$B$13,기준값!$B$16,기준값!$B$15)))))/기준값!$B$18</f>
        <v>-16687.125</v>
      </c>
    </row>
    <row r="15" spans="1:10" ht="14.25" customHeight="1">
      <c r="A15" s="34">
        <v>114</v>
      </c>
      <c r="B15" s="6">
        <f>$A15*기준값!$B$7-기준값!$B$8-(거리구간표!$D$5*(IF(기준값!$B$18&lt;기준값!$B$11,기준값!$B$16,IF(기준값!$B$18&gt;=기준값!$B$12,IF($A15&gt;=기준값!$B$13,기준값!$B$14,기준값!$B$16),IF($A15&gt;=기준값!$B$13,기준값!$B$16,기준값!$B$15)))))/기준값!$B$18</f>
        <v>2191.75</v>
      </c>
      <c r="C15" s="6">
        <f>$A15*기준값!$B$7-기준값!$B$8-(거리구간표!$D$6*(IF(기준값!$B$18&lt;기준값!$B$11,기준값!$B$16,IF(기준값!$B$18&gt;=기준값!$B$12,IF($A15&gt;=기준값!$B$13,기준값!$B$14,기준값!$B$16),IF($A15&gt;=기준값!$B$13,기준값!$B$16,기준값!$B$15)))))/기준값!$B$18</f>
        <v>525.08333333333394</v>
      </c>
      <c r="D15" s="6">
        <f>$A15*기준값!$B$7-기준값!$B$8-(거리구간표!$D$7*(IF(기준값!$B$18&lt;기준값!$B$11,기준값!$B$16,IF(기준값!$B$18&gt;=기준값!$B$12,IF($A15&gt;=기준값!$B$13,기준값!$B$14,기준값!$B$16),IF($A15&gt;=기준값!$B$13,기준값!$B$16,기준값!$B$15)))))/기준값!$B$18</f>
        <v>-1141.5833333333339</v>
      </c>
      <c r="E15" s="6">
        <f>$A15*기준값!$B$7-기준값!$B$8-(거리구간표!$D$8*(IF(기준값!$B$18&lt;기준값!$B$11,기준값!$B$16,IF(기준값!$B$18&gt;=기준값!$B$12,IF($A15&gt;=기준값!$B$13,기준값!$B$14,기준값!$B$16),IF($A15&gt;=기준값!$B$13,기준값!$B$16,기준값!$B$15)))))/기준값!$B$18</f>
        <v>-4474.9166666666679</v>
      </c>
      <c r="F15" s="6">
        <f>$A15*기준값!$B$7-기준값!$B$8-(거리구간표!$D$9*(IF(기준값!$B$18&lt;기준값!$B$11,기준값!$B$16,IF(기준값!$B$18&gt;=기준값!$B$12,IF($A15&gt;=기준값!$B$13,기준값!$B$14,기준값!$B$16),IF($A15&gt;=기준값!$B$13,기준값!$B$16,기준값!$B$15)))))/기준값!$B$18</f>
        <v>-6141.5833333333321</v>
      </c>
      <c r="G15" s="6">
        <f>$A15*기준값!$B$7-기준값!$B$8-(거리구간표!$D$10*(IF(기준값!$B$18&lt;기준값!$B$11,기준값!$B$16,IF(기준값!$B$18&gt;=기준값!$B$12,IF($A15&gt;=기준값!$B$13,기준값!$B$14,기준값!$B$16),IF($A15&gt;=기준값!$B$13,기준값!$B$16,기준값!$B$15)))))/기준값!$B$18</f>
        <v>-7808.25</v>
      </c>
      <c r="H15" s="6">
        <f>$A15*기준값!$B$7-기준값!$B$8-(거리구간표!$D$11*(IF(기준값!$B$18&lt;기준값!$B$11,기준값!$B$16,IF(기준값!$B$18&gt;=기준값!$B$12,IF($A15&gt;=기준값!$B$13,기준값!$B$14,기준값!$B$16),IF($A15&gt;=기준값!$B$13,기준값!$B$16,기준값!$B$15)))))/기준값!$B$18</f>
        <v>-9474.9166666666679</v>
      </c>
      <c r="I15" s="6">
        <f>$A15*기준값!$B$7-기준값!$B$8-(거리구간표!$D$12*(IF(기준값!$B$18&lt;기준값!$B$11,기준값!$B$16,IF(기준값!$B$18&gt;=기준값!$B$12,IF($A15&gt;=기준값!$B$13,기준값!$B$14,기준값!$B$16),IF($A15&gt;=기준값!$B$13,기준값!$B$16,기준값!$B$15)))))/기준값!$B$18</f>
        <v>-11141.583333333332</v>
      </c>
      <c r="J15" s="6">
        <f>$A15*기준값!$B$7-기준값!$B$8-(거리구간표!$D$13*(IF(기준값!$B$18&lt;기준값!$B$11,기준값!$B$16,IF(기준값!$B$18&gt;=기준값!$B$12,IF($A15&gt;=기준값!$B$13,기준값!$B$14,기준값!$B$16),IF($A15&gt;=기준값!$B$13,기준값!$B$16,기준값!$B$15)))))/기준값!$B$18</f>
        <v>-12808.25</v>
      </c>
    </row>
    <row r="16" spans="1:10" ht="14.25" customHeight="1">
      <c r="A16" s="34">
        <v>115</v>
      </c>
      <c r="B16" s="6">
        <f>$A16*기준값!$B$7-기준값!$B$8-(거리구간표!$D$5*(IF(기준값!$B$18&lt;기준값!$B$11,기준값!$B$16,IF(기준값!$B$18&gt;=기준값!$B$12,IF($A16&gt;=기준값!$B$13,기준값!$B$14,기준값!$B$16),IF($A16&gt;=기준값!$B$13,기준값!$B$16,기준값!$B$15)))))/기준값!$B$18</f>
        <v>6070.625</v>
      </c>
      <c r="C16" s="6">
        <f>$A16*기준값!$B$7-기준값!$B$8-(거리구간표!$D$6*(IF(기준값!$B$18&lt;기준값!$B$11,기준값!$B$16,IF(기준값!$B$18&gt;=기준값!$B$12,IF($A16&gt;=기준값!$B$13,기준값!$B$14,기준값!$B$16),IF($A16&gt;=기준값!$B$13,기준값!$B$16,기준값!$B$15)))))/기준값!$B$18</f>
        <v>4403.9583333333339</v>
      </c>
      <c r="D16" s="6">
        <f>$A16*기준값!$B$7-기준값!$B$8-(거리구간표!$D$7*(IF(기준값!$B$18&lt;기준값!$B$11,기준값!$B$16,IF(기준값!$B$18&gt;=기준값!$B$12,IF($A16&gt;=기준값!$B$13,기준값!$B$14,기준값!$B$16),IF($A16&gt;=기준값!$B$13,기준값!$B$16,기준값!$B$15)))))/기준값!$B$18</f>
        <v>2737.2916666666661</v>
      </c>
      <c r="E16" s="6">
        <f>$A16*기준값!$B$7-기준값!$B$8-(거리구간표!$D$8*(IF(기준값!$B$18&lt;기준값!$B$11,기준값!$B$16,IF(기준값!$B$18&gt;=기준값!$B$12,IF($A16&gt;=기준값!$B$13,기준값!$B$14,기준값!$B$16),IF($A16&gt;=기준값!$B$13,기준값!$B$16,기준값!$B$15)))))/기준값!$B$18</f>
        <v>-596.04166666666788</v>
      </c>
      <c r="F16" s="6">
        <f>$A16*기준값!$B$7-기준값!$B$8-(거리구간표!$D$9*(IF(기준값!$B$18&lt;기준값!$B$11,기준값!$B$16,IF(기준값!$B$18&gt;=기준값!$B$12,IF($A16&gt;=기준값!$B$13,기준값!$B$14,기준값!$B$16),IF($A16&gt;=기준값!$B$13,기준값!$B$16,기준값!$B$15)))))/기준값!$B$18</f>
        <v>-2262.7083333333321</v>
      </c>
      <c r="G16" s="6">
        <f>$A16*기준값!$B$7-기준값!$B$8-(거리구간표!$D$10*(IF(기준값!$B$18&lt;기준값!$B$11,기준값!$B$16,IF(기준값!$B$18&gt;=기준값!$B$12,IF($A16&gt;=기준값!$B$13,기준값!$B$14,기준값!$B$16),IF($A16&gt;=기준값!$B$13,기준값!$B$16,기준값!$B$15)))))/기준값!$B$18</f>
        <v>-3929.375</v>
      </c>
      <c r="H16" s="6">
        <f>$A16*기준값!$B$7-기준값!$B$8-(거리구간표!$D$11*(IF(기준값!$B$18&lt;기준값!$B$11,기준값!$B$16,IF(기준값!$B$18&gt;=기준값!$B$12,IF($A16&gt;=기준값!$B$13,기준값!$B$14,기준값!$B$16),IF($A16&gt;=기준값!$B$13,기준값!$B$16,기준값!$B$15)))))/기준값!$B$18</f>
        <v>-5596.0416666666679</v>
      </c>
      <c r="I16" s="6">
        <f>$A16*기준값!$B$7-기준값!$B$8-(거리구간표!$D$12*(IF(기준값!$B$18&lt;기준값!$B$11,기준값!$B$16,IF(기준값!$B$18&gt;=기준값!$B$12,IF($A16&gt;=기준값!$B$13,기준값!$B$14,기준값!$B$16),IF($A16&gt;=기준값!$B$13,기준값!$B$16,기준값!$B$15)))))/기준값!$B$18</f>
        <v>-7262.7083333333321</v>
      </c>
      <c r="J16" s="6">
        <f>$A16*기준값!$B$7-기준값!$B$8-(거리구간표!$D$13*(IF(기준값!$B$18&lt;기준값!$B$11,기준값!$B$16,IF(기준값!$B$18&gt;=기준값!$B$12,IF($A16&gt;=기준값!$B$13,기준값!$B$14,기준값!$B$16),IF($A16&gt;=기준값!$B$13,기준값!$B$16,기준값!$B$15)))))/기준값!$B$18</f>
        <v>-8929.375</v>
      </c>
    </row>
    <row r="17" spans="1:10" ht="14.25" customHeight="1">
      <c r="A17" s="34">
        <v>116</v>
      </c>
      <c r="B17" s="6">
        <f>$A17*기준값!$B$7-기준값!$B$8-(거리구간표!$D$5*(IF(기준값!$B$18&lt;기준값!$B$11,기준값!$B$16,IF(기준값!$B$18&gt;=기준값!$B$12,IF($A17&gt;=기준값!$B$13,기준값!$B$14,기준값!$B$16),IF($A17&gt;=기준값!$B$13,기준값!$B$16,기준값!$B$15)))))/기준값!$B$18</f>
        <v>9949.5</v>
      </c>
      <c r="C17" s="6">
        <f>$A17*기준값!$B$7-기준값!$B$8-(거리구간표!$D$6*(IF(기준값!$B$18&lt;기준값!$B$11,기준값!$B$16,IF(기준값!$B$18&gt;=기준값!$B$12,IF($A17&gt;=기준값!$B$13,기준값!$B$14,기준값!$B$16),IF($A17&gt;=기준값!$B$13,기준값!$B$16,기준값!$B$15)))))/기준값!$B$18</f>
        <v>8282.8333333333339</v>
      </c>
      <c r="D17" s="6">
        <f>$A17*기준값!$B$7-기준값!$B$8-(거리구간표!$D$7*(IF(기준값!$B$18&lt;기준값!$B$11,기준값!$B$16,IF(기준값!$B$18&gt;=기준값!$B$12,IF($A17&gt;=기준값!$B$13,기준값!$B$14,기준값!$B$16),IF($A17&gt;=기준값!$B$13,기준값!$B$16,기준값!$B$15)))))/기준값!$B$18</f>
        <v>6616.1666666666661</v>
      </c>
      <c r="E17" s="6">
        <f>$A17*기준값!$B$7-기준값!$B$8-(거리구간표!$D$8*(IF(기준값!$B$18&lt;기준값!$B$11,기준값!$B$16,IF(기준값!$B$18&gt;=기준값!$B$12,IF($A17&gt;=기준값!$B$13,기준값!$B$14,기준값!$B$16),IF($A17&gt;=기준값!$B$13,기준값!$B$16,기준값!$B$15)))))/기준값!$B$18</f>
        <v>3282.8333333333321</v>
      </c>
      <c r="F17" s="6">
        <f>$A17*기준값!$B$7-기준값!$B$8-(거리구간표!$D$9*(IF(기준값!$B$18&lt;기준값!$B$11,기준값!$B$16,IF(기준값!$B$18&gt;=기준값!$B$12,IF($A17&gt;=기준값!$B$13,기준값!$B$14,기준값!$B$16),IF($A17&gt;=기준값!$B$13,기준값!$B$16,기준값!$B$15)))))/기준값!$B$18</f>
        <v>1616.1666666666679</v>
      </c>
      <c r="G17" s="6">
        <f>$A17*기준값!$B$7-기준값!$B$8-(거리구간표!$D$10*(IF(기준값!$B$18&lt;기준값!$B$11,기준값!$B$16,IF(기준값!$B$18&gt;=기준값!$B$12,IF($A17&gt;=기준값!$B$13,기준값!$B$14,기준값!$B$16),IF($A17&gt;=기준값!$B$13,기준값!$B$16,기준값!$B$15)))))/기준값!$B$18</f>
        <v>-50.5</v>
      </c>
      <c r="H17" s="6">
        <f>$A17*기준값!$B$7-기준값!$B$8-(거리구간표!$D$11*(IF(기준값!$B$18&lt;기준값!$B$11,기준값!$B$16,IF(기준값!$B$18&gt;=기준값!$B$12,IF($A17&gt;=기준값!$B$13,기준값!$B$14,기준값!$B$16),IF($A17&gt;=기준값!$B$13,기준값!$B$16,기준값!$B$15)))))/기준값!$B$18</f>
        <v>-1717.1666666666679</v>
      </c>
      <c r="I17" s="6">
        <f>$A17*기준값!$B$7-기준값!$B$8-(거리구간표!$D$12*(IF(기준값!$B$18&lt;기준값!$B$11,기준값!$B$16,IF(기준값!$B$18&gt;=기준값!$B$12,IF($A17&gt;=기준값!$B$13,기준값!$B$14,기준값!$B$16),IF($A17&gt;=기준값!$B$13,기준값!$B$16,기준값!$B$15)))))/기준값!$B$18</f>
        <v>-3383.8333333333321</v>
      </c>
      <c r="J17" s="6">
        <f>$A17*기준값!$B$7-기준값!$B$8-(거리구간표!$D$13*(IF(기준값!$B$18&lt;기준값!$B$11,기준값!$B$16,IF(기준값!$B$18&gt;=기준값!$B$12,IF($A17&gt;=기준값!$B$13,기준값!$B$14,기준값!$B$16),IF($A17&gt;=기준값!$B$13,기준값!$B$16,기준값!$B$15)))))/기준값!$B$18</f>
        <v>-5050.5</v>
      </c>
    </row>
    <row r="18" spans="1:10" ht="14.25" customHeight="1">
      <c r="A18" s="34">
        <v>117</v>
      </c>
      <c r="B18" s="6">
        <f>$A18*기준값!$B$7-기준값!$B$8-(거리구간표!$D$5*(IF(기준값!$B$18&lt;기준값!$B$11,기준값!$B$16,IF(기준값!$B$18&gt;=기준값!$B$12,IF($A18&gt;=기준값!$B$13,기준값!$B$14,기준값!$B$16),IF($A18&gt;=기준값!$B$13,기준값!$B$16,기준값!$B$15)))))/기준값!$B$18</f>
        <v>13828.375</v>
      </c>
      <c r="C18" s="6">
        <f>$A18*기준값!$B$7-기준값!$B$8-(거리구간표!$D$6*(IF(기준값!$B$18&lt;기준값!$B$11,기준값!$B$16,IF(기준값!$B$18&gt;=기준값!$B$12,IF($A18&gt;=기준값!$B$13,기준값!$B$14,기준값!$B$16),IF($A18&gt;=기준값!$B$13,기준값!$B$16,기준값!$B$15)))))/기준값!$B$18</f>
        <v>12161.708333333334</v>
      </c>
      <c r="D18" s="6">
        <f>$A18*기준값!$B$7-기준값!$B$8-(거리구간표!$D$7*(IF(기준값!$B$18&lt;기준값!$B$11,기준값!$B$16,IF(기준값!$B$18&gt;=기준값!$B$12,IF($A18&gt;=기준값!$B$13,기준값!$B$14,기준값!$B$16),IF($A18&gt;=기준값!$B$13,기준값!$B$16,기준값!$B$15)))))/기준값!$B$18</f>
        <v>10495.041666666666</v>
      </c>
      <c r="E18" s="6">
        <f>$A18*기준값!$B$7-기준값!$B$8-(거리구간표!$D$8*(IF(기준값!$B$18&lt;기준값!$B$11,기준값!$B$16,IF(기준값!$B$18&gt;=기준값!$B$12,IF($A18&gt;=기준값!$B$13,기준값!$B$14,기준값!$B$16),IF($A18&gt;=기준값!$B$13,기준값!$B$16,기준값!$B$15)))))/기준값!$B$18</f>
        <v>7161.7083333333321</v>
      </c>
      <c r="F18" s="6">
        <f>$A18*기준값!$B$7-기준값!$B$8-(거리구간표!$D$9*(IF(기준값!$B$18&lt;기준값!$B$11,기준값!$B$16,IF(기준값!$B$18&gt;=기준값!$B$12,IF($A18&gt;=기준값!$B$13,기준값!$B$14,기준값!$B$16),IF($A18&gt;=기준값!$B$13,기준값!$B$16,기준값!$B$15)))))/기준값!$B$18</f>
        <v>5495.0416666666679</v>
      </c>
      <c r="G18" s="6">
        <f>$A18*기준값!$B$7-기준값!$B$8-(거리구간표!$D$10*(IF(기준값!$B$18&lt;기준값!$B$11,기준값!$B$16,IF(기준값!$B$18&gt;=기준값!$B$12,IF($A18&gt;=기준값!$B$13,기준값!$B$14,기준값!$B$16),IF($A18&gt;=기준값!$B$13,기준값!$B$16,기준값!$B$15)))))/기준값!$B$18</f>
        <v>3828.375</v>
      </c>
      <c r="H18" s="6">
        <f>$A18*기준값!$B$7-기준값!$B$8-(거리구간표!$D$11*(IF(기준값!$B$18&lt;기준값!$B$11,기준값!$B$16,IF(기준값!$B$18&gt;=기준값!$B$12,IF($A18&gt;=기준값!$B$13,기준값!$B$14,기준값!$B$16),IF($A18&gt;=기준값!$B$13,기준값!$B$16,기준값!$B$15)))))/기준값!$B$18</f>
        <v>2161.7083333333321</v>
      </c>
      <c r="I18" s="6">
        <f>$A18*기준값!$B$7-기준값!$B$8-(거리구간표!$D$12*(IF(기준값!$B$18&lt;기준값!$B$11,기준값!$B$16,IF(기준값!$B$18&gt;=기준값!$B$12,IF($A18&gt;=기준값!$B$13,기준값!$B$14,기준값!$B$16),IF($A18&gt;=기준값!$B$13,기준값!$B$16,기준값!$B$15)))))/기준값!$B$18</f>
        <v>495.04166666666788</v>
      </c>
      <c r="J18" s="6">
        <f>$A18*기준값!$B$7-기준값!$B$8-(거리구간표!$D$13*(IF(기준값!$B$18&lt;기준값!$B$11,기준값!$B$16,IF(기준값!$B$18&gt;=기준값!$B$12,IF($A18&gt;=기준값!$B$13,기준값!$B$14,기준값!$B$16),IF($A18&gt;=기준값!$B$13,기준값!$B$16,기준값!$B$15)))))/기준값!$B$18</f>
        <v>-1171.625</v>
      </c>
    </row>
    <row r="19" spans="1:10" ht="14.25" customHeight="1">
      <c r="A19" s="34">
        <v>118</v>
      </c>
      <c r="B19" s="6">
        <f>$A19*기준값!$B$7-기준값!$B$8-(거리구간표!$D$5*(IF(기준값!$B$18&lt;기준값!$B$11,기준값!$B$16,IF(기준값!$B$18&gt;=기준값!$B$12,IF($A19&gt;=기준값!$B$13,기준값!$B$14,기준값!$B$16),IF($A19&gt;=기준값!$B$13,기준값!$B$16,기준값!$B$15)))))/기준값!$B$18</f>
        <v>17707.25</v>
      </c>
      <c r="C19" s="6">
        <f>$A19*기준값!$B$7-기준값!$B$8-(거리구간표!$D$6*(IF(기준값!$B$18&lt;기준값!$B$11,기준값!$B$16,IF(기준값!$B$18&gt;=기준값!$B$12,IF($A19&gt;=기준값!$B$13,기준값!$B$14,기준값!$B$16),IF($A19&gt;=기준값!$B$13,기준값!$B$16,기준값!$B$15)))))/기준값!$B$18</f>
        <v>16040.583333333334</v>
      </c>
      <c r="D19" s="6">
        <f>$A19*기준값!$B$7-기준값!$B$8-(거리구간표!$D$7*(IF(기준값!$B$18&lt;기준값!$B$11,기준값!$B$16,IF(기준값!$B$18&gt;=기준값!$B$12,IF($A19&gt;=기준값!$B$13,기준값!$B$14,기준값!$B$16),IF($A19&gt;=기준값!$B$13,기준값!$B$16,기준값!$B$15)))))/기준값!$B$18</f>
        <v>14373.916666666666</v>
      </c>
      <c r="E19" s="6">
        <f>$A19*기준값!$B$7-기준값!$B$8-(거리구간표!$D$8*(IF(기준값!$B$18&lt;기준값!$B$11,기준값!$B$16,IF(기준값!$B$18&gt;=기준값!$B$12,IF($A19&gt;=기준값!$B$13,기준값!$B$14,기준값!$B$16),IF($A19&gt;=기준값!$B$13,기준값!$B$16,기준값!$B$15)))))/기준값!$B$18</f>
        <v>11040.583333333332</v>
      </c>
      <c r="F19" s="6">
        <f>$A19*기준값!$B$7-기준값!$B$8-(거리구간표!$D$9*(IF(기준값!$B$18&lt;기준값!$B$11,기준값!$B$16,IF(기준값!$B$18&gt;=기준값!$B$12,IF($A19&gt;=기준값!$B$13,기준값!$B$14,기준값!$B$16),IF($A19&gt;=기준값!$B$13,기준값!$B$16,기준값!$B$15)))))/기준값!$B$18</f>
        <v>9373.9166666666679</v>
      </c>
      <c r="G19" s="6">
        <f>$A19*기준값!$B$7-기준값!$B$8-(거리구간표!$D$10*(IF(기준값!$B$18&lt;기준값!$B$11,기준값!$B$16,IF(기준값!$B$18&gt;=기준값!$B$12,IF($A19&gt;=기준값!$B$13,기준값!$B$14,기준값!$B$16),IF($A19&gt;=기준값!$B$13,기준값!$B$16,기준값!$B$15)))))/기준값!$B$18</f>
        <v>7707.25</v>
      </c>
      <c r="H19" s="6">
        <f>$A19*기준값!$B$7-기준값!$B$8-(거리구간표!$D$11*(IF(기준값!$B$18&lt;기준값!$B$11,기준값!$B$16,IF(기준값!$B$18&gt;=기준값!$B$12,IF($A19&gt;=기준값!$B$13,기준값!$B$14,기준값!$B$16),IF($A19&gt;=기준값!$B$13,기준값!$B$16,기준값!$B$15)))))/기준값!$B$18</f>
        <v>6040.5833333333321</v>
      </c>
      <c r="I19" s="6">
        <f>$A19*기준값!$B$7-기준값!$B$8-(거리구간표!$D$12*(IF(기준값!$B$18&lt;기준값!$B$11,기준값!$B$16,IF(기준값!$B$18&gt;=기준값!$B$12,IF($A19&gt;=기준값!$B$13,기준값!$B$14,기준값!$B$16),IF($A19&gt;=기준값!$B$13,기준값!$B$16,기준값!$B$15)))))/기준값!$B$18</f>
        <v>4373.9166666666679</v>
      </c>
      <c r="J19" s="6">
        <f>$A19*기준값!$B$7-기준값!$B$8-(거리구간표!$D$13*(IF(기준값!$B$18&lt;기준값!$B$11,기준값!$B$16,IF(기준값!$B$18&gt;=기준값!$B$12,IF($A19&gt;=기준값!$B$13,기준값!$B$14,기준값!$B$16),IF($A19&gt;=기준값!$B$13,기준값!$B$16,기준값!$B$15)))))/기준값!$B$18</f>
        <v>2707.25</v>
      </c>
    </row>
    <row r="20" spans="1:10" ht="14.25" customHeight="1">
      <c r="A20" s="34">
        <v>119</v>
      </c>
      <c r="B20" s="6">
        <f>$A20*기준값!$B$7-기준값!$B$8-(거리구간표!$D$5*(IF(기준값!$B$18&lt;기준값!$B$11,기준값!$B$16,IF(기준값!$B$18&gt;=기준값!$B$12,IF($A20&gt;=기준값!$B$13,기준값!$B$14,기준값!$B$16),IF($A20&gt;=기준값!$B$13,기준값!$B$16,기준값!$B$15)))))/기준값!$B$18</f>
        <v>21586.125</v>
      </c>
      <c r="C20" s="6">
        <f>$A20*기준값!$B$7-기준값!$B$8-(거리구간표!$D$6*(IF(기준값!$B$18&lt;기준값!$B$11,기준값!$B$16,IF(기준값!$B$18&gt;=기준값!$B$12,IF($A20&gt;=기준값!$B$13,기준값!$B$14,기준값!$B$16),IF($A20&gt;=기준값!$B$13,기준값!$B$16,기준값!$B$15)))))/기준값!$B$18</f>
        <v>19919.458333333336</v>
      </c>
      <c r="D20" s="6">
        <f>$A20*기준값!$B$7-기준값!$B$8-(거리구간표!$D$7*(IF(기준값!$B$18&lt;기준값!$B$11,기준값!$B$16,IF(기준값!$B$18&gt;=기준값!$B$12,IF($A20&gt;=기준값!$B$13,기준값!$B$14,기준값!$B$16),IF($A20&gt;=기준값!$B$13,기준값!$B$16,기준값!$B$15)))))/기준값!$B$18</f>
        <v>18252.791666666664</v>
      </c>
      <c r="E20" s="6">
        <f>$A20*기준값!$B$7-기준값!$B$8-(거리구간표!$D$8*(IF(기준값!$B$18&lt;기준값!$B$11,기준값!$B$16,IF(기준값!$B$18&gt;=기준값!$B$12,IF($A20&gt;=기준값!$B$13,기준값!$B$14,기준값!$B$16),IF($A20&gt;=기준값!$B$13,기준값!$B$16,기준값!$B$15)))))/기준값!$B$18</f>
        <v>14919.458333333332</v>
      </c>
      <c r="F20" s="6">
        <f>$A20*기준값!$B$7-기준값!$B$8-(거리구간표!$D$9*(IF(기준값!$B$18&lt;기준값!$B$11,기준값!$B$16,IF(기준값!$B$18&gt;=기준값!$B$12,IF($A20&gt;=기준값!$B$13,기준값!$B$14,기준값!$B$16),IF($A20&gt;=기준값!$B$13,기준값!$B$16,기준값!$B$15)))))/기준값!$B$18</f>
        <v>13252.791666666668</v>
      </c>
      <c r="G20" s="6">
        <f>$A20*기준값!$B$7-기준값!$B$8-(거리구간표!$D$10*(IF(기준값!$B$18&lt;기준값!$B$11,기준값!$B$16,IF(기준값!$B$18&gt;=기준값!$B$12,IF($A20&gt;=기준값!$B$13,기준값!$B$14,기준값!$B$16),IF($A20&gt;=기준값!$B$13,기준값!$B$16,기준값!$B$15)))))/기준값!$B$18</f>
        <v>11586.125</v>
      </c>
      <c r="H20" s="6">
        <f>$A20*기준값!$B$7-기준값!$B$8-(거리구간표!$D$11*(IF(기준값!$B$18&lt;기준값!$B$11,기준값!$B$16,IF(기준값!$B$18&gt;=기준값!$B$12,IF($A20&gt;=기준값!$B$13,기준값!$B$14,기준값!$B$16),IF($A20&gt;=기준값!$B$13,기준값!$B$16,기준값!$B$15)))))/기준값!$B$18</f>
        <v>9919.4583333333321</v>
      </c>
      <c r="I20" s="6">
        <f>$A20*기준값!$B$7-기준값!$B$8-(거리구간표!$D$12*(IF(기준값!$B$18&lt;기준값!$B$11,기준값!$B$16,IF(기준값!$B$18&gt;=기준값!$B$12,IF($A20&gt;=기준값!$B$13,기준값!$B$14,기준값!$B$16),IF($A20&gt;=기준값!$B$13,기준값!$B$16,기준값!$B$15)))))/기준값!$B$18</f>
        <v>8252.7916666666679</v>
      </c>
      <c r="J20" s="6">
        <f>$A20*기준값!$B$7-기준값!$B$8-(거리구간표!$D$13*(IF(기준값!$B$18&lt;기준값!$B$11,기준값!$B$16,IF(기준값!$B$18&gt;=기준값!$B$12,IF($A20&gt;=기준값!$B$13,기준값!$B$14,기준값!$B$16),IF($A20&gt;=기준값!$B$13,기준값!$B$16,기준값!$B$15)))))/기준값!$B$18</f>
        <v>6586.125</v>
      </c>
    </row>
    <row r="21" spans="1:10" ht="14.25" customHeight="1">
      <c r="A21" s="34">
        <v>120</v>
      </c>
      <c r="B21" s="6">
        <f>$A21*기준값!$B$7-기준값!$B$8-(거리구간표!$D$5*(IF(기준값!$B$18&lt;기준값!$B$11,기준값!$B$16,IF(기준값!$B$18&gt;=기준값!$B$12,IF($A21&gt;=기준값!$B$13,기준값!$B$14,기준값!$B$16),IF($A21&gt;=기준값!$B$13,기준값!$B$16,기준값!$B$15)))))/기준값!$B$18</f>
        <v>25465</v>
      </c>
      <c r="C21" s="6">
        <f>$A21*기준값!$B$7-기준값!$B$8-(거리구간표!$D$6*(IF(기준값!$B$18&lt;기준값!$B$11,기준값!$B$16,IF(기준값!$B$18&gt;=기준값!$B$12,IF($A21&gt;=기준값!$B$13,기준값!$B$14,기준값!$B$16),IF($A21&gt;=기준값!$B$13,기준값!$B$16,기준값!$B$15)))))/기준값!$B$18</f>
        <v>23798.333333333336</v>
      </c>
      <c r="D21" s="6">
        <f>$A21*기준값!$B$7-기준값!$B$8-(거리구간표!$D$7*(IF(기준값!$B$18&lt;기준값!$B$11,기준값!$B$16,IF(기준값!$B$18&gt;=기준값!$B$12,IF($A21&gt;=기준값!$B$13,기준값!$B$14,기준값!$B$16),IF($A21&gt;=기준값!$B$13,기준값!$B$16,기준값!$B$15)))))/기준값!$B$18</f>
        <v>22131.666666666664</v>
      </c>
      <c r="E21" s="6">
        <f>$A21*기준값!$B$7-기준값!$B$8-(거리구간표!$D$8*(IF(기준값!$B$18&lt;기준값!$B$11,기준값!$B$16,IF(기준값!$B$18&gt;=기준값!$B$12,IF($A21&gt;=기준값!$B$13,기준값!$B$14,기준값!$B$16),IF($A21&gt;=기준값!$B$13,기준값!$B$16,기준값!$B$15)))))/기준값!$B$18</f>
        <v>18798.333333333332</v>
      </c>
      <c r="F21" s="6">
        <f>$A21*기준값!$B$7-기준값!$B$8-(거리구간표!$D$9*(IF(기준값!$B$18&lt;기준값!$B$11,기준값!$B$16,IF(기준값!$B$18&gt;=기준값!$B$12,IF($A21&gt;=기준값!$B$13,기준값!$B$14,기준값!$B$16),IF($A21&gt;=기준값!$B$13,기준값!$B$16,기준값!$B$15)))))/기준값!$B$18</f>
        <v>17131.666666666668</v>
      </c>
      <c r="G21" s="6">
        <f>$A21*기준값!$B$7-기준값!$B$8-(거리구간표!$D$10*(IF(기준값!$B$18&lt;기준값!$B$11,기준값!$B$16,IF(기준값!$B$18&gt;=기준값!$B$12,IF($A21&gt;=기준값!$B$13,기준값!$B$14,기준값!$B$16),IF($A21&gt;=기준값!$B$13,기준값!$B$16,기준값!$B$15)))))/기준값!$B$18</f>
        <v>15465</v>
      </c>
      <c r="H21" s="6">
        <f>$A21*기준값!$B$7-기준값!$B$8-(거리구간표!$D$11*(IF(기준값!$B$18&lt;기준값!$B$11,기준값!$B$16,IF(기준값!$B$18&gt;=기준값!$B$12,IF($A21&gt;=기준값!$B$13,기준값!$B$14,기준값!$B$16),IF($A21&gt;=기준값!$B$13,기준값!$B$16,기준값!$B$15)))))/기준값!$B$18</f>
        <v>13798.333333333332</v>
      </c>
      <c r="I21" s="6">
        <f>$A21*기준값!$B$7-기준값!$B$8-(거리구간표!$D$12*(IF(기준값!$B$18&lt;기준값!$B$11,기준값!$B$16,IF(기준값!$B$18&gt;=기준값!$B$12,IF($A21&gt;=기준값!$B$13,기준값!$B$14,기준값!$B$16),IF($A21&gt;=기준값!$B$13,기준값!$B$16,기준값!$B$15)))))/기준값!$B$18</f>
        <v>12131.666666666668</v>
      </c>
      <c r="J21" s="6">
        <f>$A21*기준값!$B$7-기준값!$B$8-(거리구간표!$D$13*(IF(기준값!$B$18&lt;기준값!$B$11,기준값!$B$16,IF(기준값!$B$18&gt;=기준값!$B$12,IF($A21&gt;=기준값!$B$13,기준값!$B$14,기준값!$B$16),IF($A21&gt;=기준값!$B$13,기준값!$B$16,기준값!$B$15)))))/기준값!$B$18</f>
        <v>10465</v>
      </c>
    </row>
    <row r="22" spans="1:10" ht="14.25" customHeight="1">
      <c r="A22" s="34">
        <v>121</v>
      </c>
      <c r="B22" s="6">
        <f>$A22*기준값!$B$7-기준값!$B$8-(거리구간표!$D$5*(IF(기준값!$B$18&lt;기준값!$B$11,기준값!$B$16,IF(기준값!$B$18&gt;=기준값!$B$12,IF($A22&gt;=기준값!$B$13,기준값!$B$14,기준값!$B$16),IF($A22&gt;=기준값!$B$13,기준값!$B$16,기준값!$B$15)))))/기준값!$B$18</f>
        <v>29343.875</v>
      </c>
      <c r="C22" s="6">
        <f>$A22*기준값!$B$7-기준값!$B$8-(거리구간표!$D$6*(IF(기준값!$B$18&lt;기준값!$B$11,기준값!$B$16,IF(기준값!$B$18&gt;=기준값!$B$12,IF($A22&gt;=기준값!$B$13,기준값!$B$14,기준값!$B$16),IF($A22&gt;=기준값!$B$13,기준값!$B$16,기준값!$B$15)))))/기준값!$B$18</f>
        <v>27677.208333333336</v>
      </c>
      <c r="D22" s="6">
        <f>$A22*기준값!$B$7-기준값!$B$8-(거리구간표!$D$7*(IF(기준값!$B$18&lt;기준값!$B$11,기준값!$B$16,IF(기준값!$B$18&gt;=기준값!$B$12,IF($A22&gt;=기준값!$B$13,기준값!$B$14,기준값!$B$16),IF($A22&gt;=기준값!$B$13,기준값!$B$16,기준값!$B$15)))))/기준값!$B$18</f>
        <v>26010.541666666664</v>
      </c>
      <c r="E22" s="6">
        <f>$A22*기준값!$B$7-기준값!$B$8-(거리구간표!$D$8*(IF(기준값!$B$18&lt;기준값!$B$11,기준값!$B$16,IF(기준값!$B$18&gt;=기준값!$B$12,IF($A22&gt;=기준값!$B$13,기준값!$B$14,기준값!$B$16),IF($A22&gt;=기준값!$B$13,기준값!$B$16,기준값!$B$15)))))/기준값!$B$18</f>
        <v>22677.208333333332</v>
      </c>
      <c r="F22" s="6">
        <f>$A22*기준값!$B$7-기준값!$B$8-(거리구간표!$D$9*(IF(기준값!$B$18&lt;기준값!$B$11,기준값!$B$16,IF(기준값!$B$18&gt;=기준값!$B$12,IF($A22&gt;=기준값!$B$13,기준값!$B$14,기준값!$B$16),IF($A22&gt;=기준값!$B$13,기준값!$B$16,기준값!$B$15)))))/기준값!$B$18</f>
        <v>21010.541666666668</v>
      </c>
      <c r="G22" s="6">
        <f>$A22*기준값!$B$7-기준값!$B$8-(거리구간표!$D$10*(IF(기준값!$B$18&lt;기준값!$B$11,기준값!$B$16,IF(기준값!$B$18&gt;=기준값!$B$12,IF($A22&gt;=기준값!$B$13,기준값!$B$14,기준값!$B$16),IF($A22&gt;=기준값!$B$13,기준값!$B$16,기준값!$B$15)))))/기준값!$B$18</f>
        <v>19343.875</v>
      </c>
      <c r="H22" s="6">
        <f>$A22*기준값!$B$7-기준값!$B$8-(거리구간표!$D$11*(IF(기준값!$B$18&lt;기준값!$B$11,기준값!$B$16,IF(기준값!$B$18&gt;=기준값!$B$12,IF($A22&gt;=기준값!$B$13,기준값!$B$14,기준값!$B$16),IF($A22&gt;=기준값!$B$13,기준값!$B$16,기준값!$B$15)))))/기준값!$B$18</f>
        <v>17677.208333333332</v>
      </c>
      <c r="I22" s="6">
        <f>$A22*기준값!$B$7-기준값!$B$8-(거리구간표!$D$12*(IF(기준값!$B$18&lt;기준값!$B$11,기준값!$B$16,IF(기준값!$B$18&gt;=기준값!$B$12,IF($A22&gt;=기준값!$B$13,기준값!$B$14,기준값!$B$16),IF($A22&gt;=기준값!$B$13,기준값!$B$16,기준값!$B$15)))))/기준값!$B$18</f>
        <v>16010.541666666668</v>
      </c>
      <c r="J22" s="6">
        <f>$A22*기준값!$B$7-기준값!$B$8-(거리구간표!$D$13*(IF(기준값!$B$18&lt;기준값!$B$11,기준값!$B$16,IF(기준값!$B$18&gt;=기준값!$B$12,IF($A22&gt;=기준값!$B$13,기준값!$B$14,기준값!$B$16),IF($A22&gt;=기준값!$B$13,기준값!$B$16,기준값!$B$15)))))/기준값!$B$18</f>
        <v>14343.875</v>
      </c>
    </row>
    <row r="23" spans="1:10" ht="14.25" customHeight="1">
      <c r="A23" s="34">
        <v>122</v>
      </c>
      <c r="B23" s="6">
        <f>$A23*기준값!$B$7-기준값!$B$8-(거리구간표!$D$5*(IF(기준값!$B$18&lt;기준값!$B$11,기준값!$B$16,IF(기준값!$B$18&gt;=기준값!$B$12,IF($A23&gt;=기준값!$B$13,기준값!$B$14,기준값!$B$16),IF($A23&gt;=기준값!$B$13,기준값!$B$16,기준값!$B$15)))))/기준값!$B$18</f>
        <v>33222.75</v>
      </c>
      <c r="C23" s="6">
        <f>$A23*기준값!$B$7-기준값!$B$8-(거리구간표!$D$6*(IF(기준값!$B$18&lt;기준값!$B$11,기준값!$B$16,IF(기준값!$B$18&gt;=기준값!$B$12,IF($A23&gt;=기준값!$B$13,기준값!$B$14,기준값!$B$16),IF($A23&gt;=기준값!$B$13,기준값!$B$16,기준값!$B$15)))))/기준값!$B$18</f>
        <v>31556.083333333336</v>
      </c>
      <c r="D23" s="6">
        <f>$A23*기준값!$B$7-기준값!$B$8-(거리구간표!$D$7*(IF(기준값!$B$18&lt;기준값!$B$11,기준값!$B$16,IF(기준값!$B$18&gt;=기준값!$B$12,IF($A23&gt;=기준값!$B$13,기준값!$B$14,기준값!$B$16),IF($A23&gt;=기준값!$B$13,기준값!$B$16,기준값!$B$15)))))/기준값!$B$18</f>
        <v>29889.416666666664</v>
      </c>
      <c r="E23" s="6">
        <f>$A23*기준값!$B$7-기준값!$B$8-(거리구간표!$D$8*(IF(기준값!$B$18&lt;기준값!$B$11,기준값!$B$16,IF(기준값!$B$18&gt;=기준값!$B$12,IF($A23&gt;=기준값!$B$13,기준값!$B$14,기준값!$B$16),IF($A23&gt;=기준값!$B$13,기준값!$B$16,기준값!$B$15)))))/기준값!$B$18</f>
        <v>26556.083333333332</v>
      </c>
      <c r="F23" s="6">
        <f>$A23*기준값!$B$7-기준값!$B$8-(거리구간표!$D$9*(IF(기준값!$B$18&lt;기준값!$B$11,기준값!$B$16,IF(기준값!$B$18&gt;=기준값!$B$12,IF($A23&gt;=기준값!$B$13,기준값!$B$14,기준값!$B$16),IF($A23&gt;=기준값!$B$13,기준값!$B$16,기준값!$B$15)))))/기준값!$B$18</f>
        <v>24889.416666666668</v>
      </c>
      <c r="G23" s="6">
        <f>$A23*기준값!$B$7-기준값!$B$8-(거리구간표!$D$10*(IF(기준값!$B$18&lt;기준값!$B$11,기준값!$B$16,IF(기준값!$B$18&gt;=기준값!$B$12,IF($A23&gt;=기준값!$B$13,기준값!$B$14,기준값!$B$16),IF($A23&gt;=기준값!$B$13,기준값!$B$16,기준값!$B$15)))))/기준값!$B$18</f>
        <v>23222.75</v>
      </c>
      <c r="H23" s="6">
        <f>$A23*기준값!$B$7-기준값!$B$8-(거리구간표!$D$11*(IF(기준값!$B$18&lt;기준값!$B$11,기준값!$B$16,IF(기준값!$B$18&gt;=기준값!$B$12,IF($A23&gt;=기준값!$B$13,기준값!$B$14,기준값!$B$16),IF($A23&gt;=기준값!$B$13,기준값!$B$16,기준값!$B$15)))))/기준값!$B$18</f>
        <v>21556.083333333332</v>
      </c>
      <c r="I23" s="6">
        <f>$A23*기준값!$B$7-기준값!$B$8-(거리구간표!$D$12*(IF(기준값!$B$18&lt;기준값!$B$11,기준값!$B$16,IF(기준값!$B$18&gt;=기준값!$B$12,IF($A23&gt;=기준값!$B$13,기준값!$B$14,기준값!$B$16),IF($A23&gt;=기준값!$B$13,기준값!$B$16,기준값!$B$15)))))/기준값!$B$18</f>
        <v>19889.416666666668</v>
      </c>
      <c r="J23" s="6">
        <f>$A23*기준값!$B$7-기준값!$B$8-(거리구간표!$D$13*(IF(기준값!$B$18&lt;기준값!$B$11,기준값!$B$16,IF(기준값!$B$18&gt;=기준값!$B$12,IF($A23&gt;=기준값!$B$13,기준값!$B$14,기준값!$B$16),IF($A23&gt;=기준값!$B$13,기준값!$B$16,기준값!$B$15)))))/기준값!$B$18</f>
        <v>18222.75</v>
      </c>
    </row>
    <row r="24" spans="1:10" ht="14.25" customHeight="1">
      <c r="A24" s="34">
        <v>123</v>
      </c>
      <c r="B24" s="6">
        <f>$A24*기준값!$B$7-기준값!$B$8-(거리구간표!$D$5*(IF(기준값!$B$18&lt;기준값!$B$11,기준값!$B$16,IF(기준값!$B$18&gt;=기준값!$B$12,IF($A24&gt;=기준값!$B$13,기준값!$B$14,기준값!$B$16),IF($A24&gt;=기준값!$B$13,기준값!$B$16,기준값!$B$15)))))/기준값!$B$18</f>
        <v>37101.625</v>
      </c>
      <c r="C24" s="6">
        <f>$A24*기준값!$B$7-기준값!$B$8-(거리구간표!$D$6*(IF(기준값!$B$18&lt;기준값!$B$11,기준값!$B$16,IF(기준값!$B$18&gt;=기준값!$B$12,IF($A24&gt;=기준값!$B$13,기준값!$B$14,기준값!$B$16),IF($A24&gt;=기준값!$B$13,기준값!$B$16,기준값!$B$15)))))/기준값!$B$18</f>
        <v>35434.958333333336</v>
      </c>
      <c r="D24" s="6">
        <f>$A24*기준값!$B$7-기준값!$B$8-(거리구간표!$D$7*(IF(기준값!$B$18&lt;기준값!$B$11,기준값!$B$16,IF(기준값!$B$18&gt;=기준값!$B$12,IF($A24&gt;=기준값!$B$13,기준값!$B$14,기준값!$B$16),IF($A24&gt;=기준값!$B$13,기준값!$B$16,기준값!$B$15)))))/기준값!$B$18</f>
        <v>33768.291666666664</v>
      </c>
      <c r="E24" s="6">
        <f>$A24*기준값!$B$7-기준값!$B$8-(거리구간표!$D$8*(IF(기준값!$B$18&lt;기준값!$B$11,기준값!$B$16,IF(기준값!$B$18&gt;=기준값!$B$12,IF($A24&gt;=기준값!$B$13,기준값!$B$14,기준값!$B$16),IF($A24&gt;=기준값!$B$13,기준값!$B$16,기준값!$B$15)))))/기준값!$B$18</f>
        <v>30434.958333333332</v>
      </c>
      <c r="F24" s="6">
        <f>$A24*기준값!$B$7-기준값!$B$8-(거리구간표!$D$9*(IF(기준값!$B$18&lt;기준값!$B$11,기준값!$B$16,IF(기준값!$B$18&gt;=기준값!$B$12,IF($A24&gt;=기준값!$B$13,기준값!$B$14,기준값!$B$16),IF($A24&gt;=기준값!$B$13,기준값!$B$16,기준값!$B$15)))))/기준값!$B$18</f>
        <v>28768.291666666668</v>
      </c>
      <c r="G24" s="6">
        <f>$A24*기준값!$B$7-기준값!$B$8-(거리구간표!$D$10*(IF(기준값!$B$18&lt;기준값!$B$11,기준값!$B$16,IF(기준값!$B$18&gt;=기준값!$B$12,IF($A24&gt;=기준값!$B$13,기준값!$B$14,기준값!$B$16),IF($A24&gt;=기준값!$B$13,기준값!$B$16,기준값!$B$15)))))/기준값!$B$18</f>
        <v>27101.625</v>
      </c>
      <c r="H24" s="6">
        <f>$A24*기준값!$B$7-기준값!$B$8-(거리구간표!$D$11*(IF(기준값!$B$18&lt;기준값!$B$11,기준값!$B$16,IF(기준값!$B$18&gt;=기준값!$B$12,IF($A24&gt;=기준값!$B$13,기준값!$B$14,기준값!$B$16),IF($A24&gt;=기준값!$B$13,기준값!$B$16,기준값!$B$15)))))/기준값!$B$18</f>
        <v>25434.958333333332</v>
      </c>
      <c r="I24" s="6">
        <f>$A24*기준값!$B$7-기준값!$B$8-(거리구간표!$D$12*(IF(기준값!$B$18&lt;기준값!$B$11,기준값!$B$16,IF(기준값!$B$18&gt;=기준값!$B$12,IF($A24&gt;=기준값!$B$13,기준값!$B$14,기준값!$B$16),IF($A24&gt;=기준값!$B$13,기준값!$B$16,기준값!$B$15)))))/기준값!$B$18</f>
        <v>23768.291666666668</v>
      </c>
      <c r="J24" s="6">
        <f>$A24*기준값!$B$7-기준값!$B$8-(거리구간표!$D$13*(IF(기준값!$B$18&lt;기준값!$B$11,기준값!$B$16,IF(기준값!$B$18&gt;=기준값!$B$12,IF($A24&gt;=기준값!$B$13,기준값!$B$14,기준값!$B$16),IF($A24&gt;=기준값!$B$13,기준값!$B$16,기준값!$B$15)))))/기준값!$B$18</f>
        <v>22101.625</v>
      </c>
    </row>
    <row r="25" spans="1:10" ht="14.25" customHeight="1">
      <c r="A25" s="34">
        <v>124</v>
      </c>
      <c r="B25" s="6">
        <f>$A25*기준값!$B$7-기준값!$B$8-(거리구간표!$D$5*(IF(기준값!$B$18&lt;기준값!$B$11,기준값!$B$16,IF(기준값!$B$18&gt;=기준값!$B$12,IF($A25&gt;=기준값!$B$13,기준값!$B$14,기준값!$B$16),IF($A25&gt;=기준값!$B$13,기준값!$B$16,기준값!$B$15)))))/기준값!$B$18</f>
        <v>40980.5</v>
      </c>
      <c r="C25" s="6">
        <f>$A25*기준값!$B$7-기준값!$B$8-(거리구간표!$D$6*(IF(기준값!$B$18&lt;기준값!$B$11,기준값!$B$16,IF(기준값!$B$18&gt;=기준값!$B$12,IF($A25&gt;=기준값!$B$13,기준값!$B$14,기준값!$B$16),IF($A25&gt;=기준값!$B$13,기준값!$B$16,기준값!$B$15)))))/기준값!$B$18</f>
        <v>39313.833333333336</v>
      </c>
      <c r="D25" s="6">
        <f>$A25*기준값!$B$7-기준값!$B$8-(거리구간표!$D$7*(IF(기준값!$B$18&lt;기준값!$B$11,기준값!$B$16,IF(기준값!$B$18&gt;=기준값!$B$12,IF($A25&gt;=기준값!$B$13,기준값!$B$14,기준값!$B$16),IF($A25&gt;=기준값!$B$13,기준값!$B$16,기준값!$B$15)))))/기준값!$B$18</f>
        <v>37647.166666666664</v>
      </c>
      <c r="E25" s="6">
        <f>$A25*기준값!$B$7-기준값!$B$8-(거리구간표!$D$8*(IF(기준값!$B$18&lt;기준값!$B$11,기준값!$B$16,IF(기준값!$B$18&gt;=기준값!$B$12,IF($A25&gt;=기준값!$B$13,기준값!$B$14,기준값!$B$16),IF($A25&gt;=기준값!$B$13,기준값!$B$16,기준값!$B$15)))))/기준값!$B$18</f>
        <v>34313.833333333328</v>
      </c>
      <c r="F25" s="6">
        <f>$A25*기준값!$B$7-기준값!$B$8-(거리구간표!$D$9*(IF(기준값!$B$18&lt;기준값!$B$11,기준값!$B$16,IF(기준값!$B$18&gt;=기준값!$B$12,IF($A25&gt;=기준값!$B$13,기준값!$B$14,기준값!$B$16),IF($A25&gt;=기준값!$B$13,기준값!$B$16,기준값!$B$15)))))/기준값!$B$18</f>
        <v>32647.166666666668</v>
      </c>
      <c r="G25" s="6">
        <f>$A25*기준값!$B$7-기준값!$B$8-(거리구간표!$D$10*(IF(기준값!$B$18&lt;기준값!$B$11,기준값!$B$16,IF(기준값!$B$18&gt;=기준값!$B$12,IF($A25&gt;=기준값!$B$13,기준값!$B$14,기준값!$B$16),IF($A25&gt;=기준값!$B$13,기준값!$B$16,기준값!$B$15)))))/기준값!$B$18</f>
        <v>30980.5</v>
      </c>
      <c r="H25" s="6">
        <f>$A25*기준값!$B$7-기준값!$B$8-(거리구간표!$D$11*(IF(기준값!$B$18&lt;기준값!$B$11,기준값!$B$16,IF(기준값!$B$18&gt;=기준값!$B$12,IF($A25&gt;=기준값!$B$13,기준값!$B$14,기준값!$B$16),IF($A25&gt;=기준값!$B$13,기준값!$B$16,기준값!$B$15)))))/기준값!$B$18</f>
        <v>29313.833333333332</v>
      </c>
      <c r="I25" s="6">
        <f>$A25*기준값!$B$7-기준값!$B$8-(거리구간표!$D$12*(IF(기준값!$B$18&lt;기준값!$B$11,기준값!$B$16,IF(기준값!$B$18&gt;=기준값!$B$12,IF($A25&gt;=기준값!$B$13,기준값!$B$14,기준값!$B$16),IF($A25&gt;=기준값!$B$13,기준값!$B$16,기준값!$B$15)))))/기준값!$B$18</f>
        <v>27647.166666666668</v>
      </c>
      <c r="J25" s="6">
        <f>$A25*기준값!$B$7-기준값!$B$8-(거리구간표!$D$13*(IF(기준값!$B$18&lt;기준값!$B$11,기준값!$B$16,IF(기준값!$B$18&gt;=기준값!$B$12,IF($A25&gt;=기준값!$B$13,기준값!$B$14,기준값!$B$16),IF($A25&gt;=기준값!$B$13,기준값!$B$16,기준값!$B$15)))))/기준값!$B$18</f>
        <v>25980.5</v>
      </c>
    </row>
    <row r="26" spans="1:10" ht="14.25" customHeight="1">
      <c r="A26" s="34">
        <v>125</v>
      </c>
      <c r="B26" s="6">
        <f>$A26*기준값!$B$7-기준값!$B$8-(거리구간표!$D$5*(IF(기준값!$B$18&lt;기준값!$B$11,기준값!$B$16,IF(기준값!$B$18&gt;=기준값!$B$12,IF($A26&gt;=기준값!$B$13,기준값!$B$14,기준값!$B$16),IF($A26&gt;=기준값!$B$13,기준값!$B$16,기준값!$B$15)))))/기준값!$B$18</f>
        <v>44859.375</v>
      </c>
      <c r="C26" s="6">
        <f>$A26*기준값!$B$7-기준값!$B$8-(거리구간표!$D$6*(IF(기준값!$B$18&lt;기준값!$B$11,기준값!$B$16,IF(기준값!$B$18&gt;=기준값!$B$12,IF($A26&gt;=기준값!$B$13,기준값!$B$14,기준값!$B$16),IF($A26&gt;=기준값!$B$13,기준값!$B$16,기준값!$B$15)))))/기준값!$B$18</f>
        <v>43192.708333333336</v>
      </c>
      <c r="D26" s="6">
        <f>$A26*기준값!$B$7-기준값!$B$8-(거리구간표!$D$7*(IF(기준값!$B$18&lt;기준값!$B$11,기준값!$B$16,IF(기준값!$B$18&gt;=기준값!$B$12,IF($A26&gt;=기준값!$B$13,기준값!$B$14,기준값!$B$16),IF($A26&gt;=기준값!$B$13,기준값!$B$16,기준값!$B$15)))))/기준값!$B$18</f>
        <v>41526.041666666664</v>
      </c>
      <c r="E26" s="6">
        <f>$A26*기준값!$B$7-기준값!$B$8-(거리구간표!$D$8*(IF(기준값!$B$18&lt;기준값!$B$11,기준값!$B$16,IF(기준값!$B$18&gt;=기준값!$B$12,IF($A26&gt;=기준값!$B$13,기준값!$B$14,기준값!$B$16),IF($A26&gt;=기준값!$B$13,기준값!$B$16,기준값!$B$15)))))/기준값!$B$18</f>
        <v>38192.708333333328</v>
      </c>
      <c r="F26" s="6">
        <f>$A26*기준값!$B$7-기준값!$B$8-(거리구간표!$D$9*(IF(기준값!$B$18&lt;기준값!$B$11,기준값!$B$16,IF(기준값!$B$18&gt;=기준값!$B$12,IF($A26&gt;=기준값!$B$13,기준값!$B$14,기준값!$B$16),IF($A26&gt;=기준값!$B$13,기준값!$B$16,기준값!$B$15)))))/기준값!$B$18</f>
        <v>36526.041666666672</v>
      </c>
      <c r="G26" s="6">
        <f>$A26*기준값!$B$7-기준값!$B$8-(거리구간표!$D$10*(IF(기준값!$B$18&lt;기준값!$B$11,기준값!$B$16,IF(기준값!$B$18&gt;=기준값!$B$12,IF($A26&gt;=기준값!$B$13,기준값!$B$14,기준값!$B$16),IF($A26&gt;=기준값!$B$13,기준값!$B$16,기준값!$B$15)))))/기준값!$B$18</f>
        <v>34859.375</v>
      </c>
      <c r="H26" s="6">
        <f>$A26*기준값!$B$7-기준값!$B$8-(거리구간표!$D$11*(IF(기준값!$B$18&lt;기준값!$B$11,기준값!$B$16,IF(기준값!$B$18&gt;=기준값!$B$12,IF($A26&gt;=기준값!$B$13,기준값!$B$14,기준값!$B$16),IF($A26&gt;=기준값!$B$13,기준값!$B$16,기준값!$B$15)))))/기준값!$B$18</f>
        <v>33192.708333333328</v>
      </c>
      <c r="I26" s="6">
        <f>$A26*기준값!$B$7-기준값!$B$8-(거리구간표!$D$12*(IF(기준값!$B$18&lt;기준값!$B$11,기준값!$B$16,IF(기준값!$B$18&gt;=기준값!$B$12,IF($A26&gt;=기준값!$B$13,기준값!$B$14,기준값!$B$16),IF($A26&gt;=기준값!$B$13,기준값!$B$16,기준값!$B$15)))))/기준값!$B$18</f>
        <v>31526.041666666668</v>
      </c>
      <c r="J26" s="6">
        <f>$A26*기준값!$B$7-기준값!$B$8-(거리구간표!$D$13*(IF(기준값!$B$18&lt;기준값!$B$11,기준값!$B$16,IF(기준값!$B$18&gt;=기준값!$B$12,IF($A26&gt;=기준값!$B$13,기준값!$B$14,기준값!$B$16),IF($A26&gt;=기준값!$B$13,기준값!$B$16,기준값!$B$15)))))/기준값!$B$18</f>
        <v>29859.375</v>
      </c>
    </row>
    <row r="29" spans="1:10" ht="13.5" customHeight="1">
      <c r="A29" s="40" t="str">
        <f>"시나리오 B · 두수 "&amp;기준값!$B$19&amp;"두"</f>
        <v>시나리오 B · 두수 65두</v>
      </c>
      <c r="B29" s="40"/>
      <c r="C29" s="40"/>
      <c r="D29" s="40"/>
      <c r="E29" s="40"/>
      <c r="F29" s="40"/>
      <c r="G29" s="40"/>
      <c r="H29" s="40"/>
      <c r="I29" s="40"/>
      <c r="J29" s="40"/>
    </row>
    <row r="30" spans="1:10" ht="25.5" customHeight="1">
      <c r="A30" s="4" t="s">
        <v>77</v>
      </c>
      <c r="B30" s="4" t="str">
        <f>거리구간표!$A$5</f>
        <v>~40km</v>
      </c>
      <c r="C30" s="4" t="str">
        <f>거리구간표!$A$6</f>
        <v>41~80km</v>
      </c>
      <c r="D30" s="4" t="str">
        <f>거리구간표!$A$7</f>
        <v>81~120km</v>
      </c>
      <c r="E30" s="4" t="str">
        <f>거리구간표!$A$8</f>
        <v>121~150km</v>
      </c>
      <c r="F30" s="4" t="str">
        <f>거리구간표!$A$9</f>
        <v>151~180km</v>
      </c>
      <c r="G30" s="4" t="str">
        <f>거리구간표!$A$10</f>
        <v>181~220km</v>
      </c>
      <c r="H30" s="4" t="str">
        <f>거리구간표!$A$11</f>
        <v>221~260km</v>
      </c>
      <c r="I30" s="4" t="str">
        <f>거리구간표!$A$12</f>
        <v>261~300km</v>
      </c>
      <c r="J30" s="4" t="str">
        <f>거리구간표!$A$13</f>
        <v>301~340km</v>
      </c>
    </row>
    <row r="31" spans="1:10" ht="14.25" customHeight="1">
      <c r="A31" s="34">
        <v>105</v>
      </c>
      <c r="B31" s="6">
        <f>$A31*기준값!$B$7-기준값!$B$8-(거리구간표!$D$5*(IF(기준값!$B$19&lt;기준값!$B$11,기준값!$B$16,IF(기준값!$B$19&gt;=기준값!$B$12,IF($A31&gt;=기준값!$B$13,기준값!$B$14,기준값!$B$16),IF($A31&gt;=기준값!$B$13,기준값!$B$16,기준값!$B$15)))))/기준값!$B$19</f>
        <v>-27333.509615384617</v>
      </c>
      <c r="C31" s="6">
        <f>$A31*기준값!$B$7-기준값!$B$8-(거리구간표!$D$6*(IF(기준값!$B$19&lt;기준값!$B$11,기준값!$B$16,IF(기준값!$B$19&gt;=기준값!$B$12,IF($A31&gt;=기준값!$B$13,기준값!$B$14,기준값!$B$16),IF($A31&gt;=기준값!$B$13,기준값!$B$16,기준값!$B$15)))))/기준값!$B$19</f>
        <v>-28102.740384615383</v>
      </c>
      <c r="D31" s="6">
        <f>$A31*기준값!$B$7-기준값!$B$8-(거리구간표!$D$7*(IF(기준값!$B$19&lt;기준값!$B$11,기준값!$B$16,IF(기준값!$B$19&gt;=기준값!$B$12,IF($A31&gt;=기준값!$B$13,기준값!$B$14,기준값!$B$16),IF($A31&gt;=기준값!$B$13,기준값!$B$16,기준값!$B$15)))))/기준값!$B$19</f>
        <v>-28871.971153846156</v>
      </c>
      <c r="E31" s="6">
        <f>$A31*기준값!$B$7-기준값!$B$8-(거리구간표!$D$8*(IF(기준값!$B$19&lt;기준값!$B$11,기준값!$B$16,IF(기준값!$B$19&gt;=기준값!$B$12,IF($A31&gt;=기준값!$B$13,기준값!$B$14,기준값!$B$16),IF($A31&gt;=기준값!$B$13,기준값!$B$16,기준값!$B$15)))))/기준값!$B$19</f>
        <v>-30410.432692307691</v>
      </c>
      <c r="F31" s="6">
        <f>$A31*기준값!$B$7-기준값!$B$8-(거리구간표!$D$9*(IF(기준값!$B$19&lt;기준값!$B$11,기준값!$B$16,IF(기준값!$B$19&gt;=기준값!$B$12,IF($A31&gt;=기준값!$B$13,기준값!$B$14,기준값!$B$16),IF($A31&gt;=기준값!$B$13,기준값!$B$16,기준값!$B$15)))))/기준값!$B$19</f>
        <v>-31179.663461538461</v>
      </c>
      <c r="G31" s="6">
        <f>$A31*기준값!$B$7-기준값!$B$8-(거리구간표!$D$10*(IF(기준값!$B$19&lt;기준값!$B$11,기준값!$B$16,IF(기준값!$B$19&gt;=기준값!$B$12,IF($A31&gt;=기준값!$B$13,기준값!$B$14,기준값!$B$16),IF($A31&gt;=기준값!$B$13,기준값!$B$16,기준값!$B$15)))))/기준값!$B$19</f>
        <v>-31948.89423076923</v>
      </c>
      <c r="H31" s="6">
        <f>$A31*기준값!$B$7-기준값!$B$8-(거리구간표!$D$11*(IF(기준값!$B$19&lt;기준값!$B$11,기준값!$B$16,IF(기준값!$B$19&gt;=기준값!$B$12,IF($A31&gt;=기준값!$B$13,기준값!$B$14,기준값!$B$16),IF($A31&gt;=기준값!$B$13,기준값!$B$16,기준값!$B$15)))))/기준값!$B$19</f>
        <v>-32718.125</v>
      </c>
      <c r="I31" s="6">
        <f>$A31*기준값!$B$7-기준값!$B$8-(거리구간표!$D$12*(IF(기준값!$B$19&lt;기준값!$B$11,기준값!$B$16,IF(기준값!$B$19&gt;=기준값!$B$12,IF($A31&gt;=기준값!$B$13,기준값!$B$14,기준값!$B$16),IF($A31&gt;=기준값!$B$13,기준값!$B$16,기준값!$B$15)))))/기준값!$B$19</f>
        <v>-33487.355769230766</v>
      </c>
      <c r="J31" s="6">
        <f>$A31*기준값!$B$7-기준값!$B$8-(거리구간표!$D$13*(IF(기준값!$B$19&lt;기준값!$B$11,기준값!$B$16,IF(기준값!$B$19&gt;=기준값!$B$12,IF($A31&gt;=기준값!$B$13,기준값!$B$14,기준값!$B$16),IF($A31&gt;=기준값!$B$13,기준값!$B$16,기준값!$B$15)))))/기준값!$B$19</f>
        <v>-34256.586538461539</v>
      </c>
    </row>
    <row r="32" spans="1:10" ht="14.25" customHeight="1">
      <c r="A32" s="34">
        <v>106</v>
      </c>
      <c r="B32" s="6">
        <f>$A32*기준값!$B$7-기준값!$B$8-(거리구간표!$D$5*(IF(기준값!$B$19&lt;기준값!$B$11,기준값!$B$16,IF(기준값!$B$19&gt;=기준값!$B$12,IF($A32&gt;=기준값!$B$13,기준값!$B$14,기준값!$B$16),IF($A32&gt;=기준값!$B$13,기준값!$B$16,기준값!$B$15)))))/기준값!$B$19</f>
        <v>-23454.634615384617</v>
      </c>
      <c r="C32" s="6">
        <f>$A32*기준값!$B$7-기준값!$B$8-(거리구간표!$D$6*(IF(기준값!$B$19&lt;기준값!$B$11,기준값!$B$16,IF(기준값!$B$19&gt;=기준값!$B$12,IF($A32&gt;=기준값!$B$13,기준값!$B$14,기준값!$B$16),IF($A32&gt;=기준값!$B$13,기준값!$B$16,기준값!$B$15)))))/기준값!$B$19</f>
        <v>-24223.865384615383</v>
      </c>
      <c r="D32" s="6">
        <f>$A32*기준값!$B$7-기준값!$B$8-(거리구간표!$D$7*(IF(기준값!$B$19&lt;기준값!$B$11,기준값!$B$16,IF(기준값!$B$19&gt;=기준값!$B$12,IF($A32&gt;=기준값!$B$13,기준값!$B$14,기준값!$B$16),IF($A32&gt;=기준값!$B$13,기준값!$B$16,기준값!$B$15)))))/기준값!$B$19</f>
        <v>-24993.096153846156</v>
      </c>
      <c r="E32" s="6">
        <f>$A32*기준값!$B$7-기준값!$B$8-(거리구간표!$D$8*(IF(기준값!$B$19&lt;기준값!$B$11,기준값!$B$16,IF(기준값!$B$19&gt;=기준값!$B$12,IF($A32&gt;=기준값!$B$13,기준값!$B$14,기준값!$B$16),IF($A32&gt;=기준값!$B$13,기준값!$B$16,기준값!$B$15)))))/기준값!$B$19</f>
        <v>-26531.557692307691</v>
      </c>
      <c r="F32" s="6">
        <f>$A32*기준값!$B$7-기준값!$B$8-(거리구간표!$D$9*(IF(기준값!$B$19&lt;기준값!$B$11,기준값!$B$16,IF(기준값!$B$19&gt;=기준값!$B$12,IF($A32&gt;=기준값!$B$13,기준값!$B$14,기준값!$B$16),IF($A32&gt;=기준값!$B$13,기준값!$B$16,기준값!$B$15)))))/기준값!$B$19</f>
        <v>-27300.788461538461</v>
      </c>
      <c r="G32" s="6">
        <f>$A32*기준값!$B$7-기준값!$B$8-(거리구간표!$D$10*(IF(기준값!$B$19&lt;기준값!$B$11,기준값!$B$16,IF(기준값!$B$19&gt;=기준값!$B$12,IF($A32&gt;=기준값!$B$13,기준값!$B$14,기준값!$B$16),IF($A32&gt;=기준값!$B$13,기준값!$B$16,기준값!$B$15)))))/기준값!$B$19</f>
        <v>-28070.01923076923</v>
      </c>
      <c r="H32" s="6">
        <f>$A32*기준값!$B$7-기준값!$B$8-(거리구간표!$D$11*(IF(기준값!$B$19&lt;기준값!$B$11,기준값!$B$16,IF(기준값!$B$19&gt;=기준값!$B$12,IF($A32&gt;=기준값!$B$13,기준값!$B$14,기준값!$B$16),IF($A32&gt;=기준값!$B$13,기준값!$B$16,기준값!$B$15)))))/기준값!$B$19</f>
        <v>-28839.25</v>
      </c>
      <c r="I32" s="6">
        <f>$A32*기준값!$B$7-기준값!$B$8-(거리구간표!$D$12*(IF(기준값!$B$19&lt;기준값!$B$11,기준값!$B$16,IF(기준값!$B$19&gt;=기준값!$B$12,IF($A32&gt;=기준값!$B$13,기준값!$B$14,기준값!$B$16),IF($A32&gt;=기준값!$B$13,기준값!$B$16,기준값!$B$15)))))/기준값!$B$19</f>
        <v>-29608.48076923077</v>
      </c>
      <c r="J32" s="6">
        <f>$A32*기준값!$B$7-기준값!$B$8-(거리구간표!$D$13*(IF(기준값!$B$19&lt;기준값!$B$11,기준값!$B$16,IF(기준값!$B$19&gt;=기준값!$B$12,IF($A32&gt;=기준값!$B$13,기준값!$B$14,기준값!$B$16),IF($A32&gt;=기준값!$B$13,기준값!$B$16,기준값!$B$15)))))/기준값!$B$19</f>
        <v>-30377.711538461539</v>
      </c>
    </row>
    <row r="33" spans="1:10" ht="14.25" customHeight="1">
      <c r="A33" s="34">
        <v>107</v>
      </c>
      <c r="B33" s="6">
        <f>$A33*기준값!$B$7-기준값!$B$8-(거리구간표!$D$5*(IF(기준값!$B$19&lt;기준값!$B$11,기준값!$B$16,IF(기준값!$B$19&gt;=기준값!$B$12,IF($A33&gt;=기준값!$B$13,기준값!$B$14,기준값!$B$16),IF($A33&gt;=기준값!$B$13,기준값!$B$16,기준값!$B$15)))))/기준값!$B$19</f>
        <v>-19575.759615384617</v>
      </c>
      <c r="C33" s="6">
        <f>$A33*기준값!$B$7-기준값!$B$8-(거리구간표!$D$6*(IF(기준값!$B$19&lt;기준값!$B$11,기준값!$B$16,IF(기준값!$B$19&gt;=기준값!$B$12,IF($A33&gt;=기준값!$B$13,기준값!$B$14,기준값!$B$16),IF($A33&gt;=기준값!$B$13,기준값!$B$16,기준값!$B$15)))))/기준값!$B$19</f>
        <v>-20344.990384615383</v>
      </c>
      <c r="D33" s="6">
        <f>$A33*기준값!$B$7-기준값!$B$8-(거리구간표!$D$7*(IF(기준값!$B$19&lt;기준값!$B$11,기준값!$B$16,IF(기준값!$B$19&gt;=기준값!$B$12,IF($A33&gt;=기준값!$B$13,기준값!$B$14,기준값!$B$16),IF($A33&gt;=기준값!$B$13,기준값!$B$16,기준값!$B$15)))))/기준값!$B$19</f>
        <v>-21114.221153846156</v>
      </c>
      <c r="E33" s="6">
        <f>$A33*기준값!$B$7-기준값!$B$8-(거리구간표!$D$8*(IF(기준값!$B$19&lt;기준값!$B$11,기준값!$B$16,IF(기준값!$B$19&gt;=기준값!$B$12,IF($A33&gt;=기준값!$B$13,기준값!$B$14,기준값!$B$16),IF($A33&gt;=기준값!$B$13,기준값!$B$16,기준값!$B$15)))))/기준값!$B$19</f>
        <v>-22652.682692307691</v>
      </c>
      <c r="F33" s="6">
        <f>$A33*기준값!$B$7-기준값!$B$8-(거리구간표!$D$9*(IF(기준값!$B$19&lt;기준값!$B$11,기준값!$B$16,IF(기준값!$B$19&gt;=기준값!$B$12,IF($A33&gt;=기준값!$B$13,기준값!$B$14,기준값!$B$16),IF($A33&gt;=기준값!$B$13,기준값!$B$16,기준값!$B$15)))))/기준값!$B$19</f>
        <v>-23421.913461538461</v>
      </c>
      <c r="G33" s="6">
        <f>$A33*기준값!$B$7-기준값!$B$8-(거리구간표!$D$10*(IF(기준값!$B$19&lt;기준값!$B$11,기준값!$B$16,IF(기준값!$B$19&gt;=기준값!$B$12,IF($A33&gt;=기준값!$B$13,기준값!$B$14,기준값!$B$16),IF($A33&gt;=기준값!$B$13,기준값!$B$16,기준값!$B$15)))))/기준값!$B$19</f>
        <v>-24191.14423076923</v>
      </c>
      <c r="H33" s="6">
        <f>$A33*기준값!$B$7-기준값!$B$8-(거리구간표!$D$11*(IF(기준값!$B$19&lt;기준값!$B$11,기준값!$B$16,IF(기준값!$B$19&gt;=기준값!$B$12,IF($A33&gt;=기준값!$B$13,기준값!$B$14,기준값!$B$16),IF($A33&gt;=기준값!$B$13,기준값!$B$16,기준값!$B$15)))))/기준값!$B$19</f>
        <v>-24960.375</v>
      </c>
      <c r="I33" s="6">
        <f>$A33*기준값!$B$7-기준값!$B$8-(거리구간표!$D$12*(IF(기준값!$B$19&lt;기준값!$B$11,기준값!$B$16,IF(기준값!$B$19&gt;=기준값!$B$12,IF($A33&gt;=기준값!$B$13,기준값!$B$14,기준값!$B$16),IF($A33&gt;=기준값!$B$13,기준값!$B$16,기준값!$B$15)))))/기준값!$B$19</f>
        <v>-25729.60576923077</v>
      </c>
      <c r="J33" s="6">
        <f>$A33*기준값!$B$7-기준값!$B$8-(거리구간표!$D$13*(IF(기준값!$B$19&lt;기준값!$B$11,기준값!$B$16,IF(기준값!$B$19&gt;=기준값!$B$12,IF($A33&gt;=기준값!$B$13,기준값!$B$14,기준값!$B$16),IF($A33&gt;=기준값!$B$13,기준값!$B$16,기준값!$B$15)))))/기준값!$B$19</f>
        <v>-26498.836538461539</v>
      </c>
    </row>
    <row r="34" spans="1:10" ht="14.25" customHeight="1">
      <c r="A34" s="34">
        <v>108</v>
      </c>
      <c r="B34" s="6">
        <f>$A34*기준값!$B$7-기준값!$B$8-(거리구간표!$D$5*(IF(기준값!$B$19&lt;기준값!$B$11,기준값!$B$16,IF(기준값!$B$19&gt;=기준값!$B$12,IF($A34&gt;=기준값!$B$13,기준값!$B$14,기준값!$B$16),IF($A34&gt;=기준값!$B$13,기준값!$B$16,기준값!$B$15)))))/기준값!$B$19</f>
        <v>-15696.884615384615</v>
      </c>
      <c r="C34" s="6">
        <f>$A34*기준값!$B$7-기준값!$B$8-(거리구간표!$D$6*(IF(기준값!$B$19&lt;기준값!$B$11,기준값!$B$16,IF(기준값!$B$19&gt;=기준값!$B$12,IF($A34&gt;=기준값!$B$13,기준값!$B$14,기준값!$B$16),IF($A34&gt;=기준값!$B$13,기준값!$B$16,기준값!$B$15)))))/기준값!$B$19</f>
        <v>-16466.115384615383</v>
      </c>
      <c r="D34" s="6">
        <f>$A34*기준값!$B$7-기준값!$B$8-(거리구간표!$D$7*(IF(기준값!$B$19&lt;기준값!$B$11,기준값!$B$16,IF(기준값!$B$19&gt;=기준값!$B$12,IF($A34&gt;=기준값!$B$13,기준값!$B$14,기준값!$B$16),IF($A34&gt;=기준값!$B$13,기준값!$B$16,기준값!$B$15)))))/기준값!$B$19</f>
        <v>-17235.346153846156</v>
      </c>
      <c r="E34" s="6">
        <f>$A34*기준값!$B$7-기준값!$B$8-(거리구간표!$D$8*(IF(기준값!$B$19&lt;기준값!$B$11,기준값!$B$16,IF(기준값!$B$19&gt;=기준값!$B$12,IF($A34&gt;=기준값!$B$13,기준값!$B$14,기준값!$B$16),IF($A34&gt;=기준값!$B$13,기준값!$B$16,기준값!$B$15)))))/기준값!$B$19</f>
        <v>-18773.807692307691</v>
      </c>
      <c r="F34" s="6">
        <f>$A34*기준값!$B$7-기준값!$B$8-(거리구간표!$D$9*(IF(기준값!$B$19&lt;기준값!$B$11,기준값!$B$16,IF(기준값!$B$19&gt;=기준값!$B$12,IF($A34&gt;=기준값!$B$13,기준값!$B$14,기준값!$B$16),IF($A34&gt;=기준값!$B$13,기준값!$B$16,기준값!$B$15)))))/기준값!$B$19</f>
        <v>-19543.038461538461</v>
      </c>
      <c r="G34" s="6">
        <f>$A34*기준값!$B$7-기준값!$B$8-(거리구간표!$D$10*(IF(기준값!$B$19&lt;기준값!$B$11,기준값!$B$16,IF(기준값!$B$19&gt;=기준값!$B$12,IF($A34&gt;=기준값!$B$13,기준값!$B$14,기준값!$B$16),IF($A34&gt;=기준값!$B$13,기준값!$B$16,기준값!$B$15)))))/기준값!$B$19</f>
        <v>-20312.26923076923</v>
      </c>
      <c r="H34" s="6">
        <f>$A34*기준값!$B$7-기준값!$B$8-(거리구간표!$D$11*(IF(기준값!$B$19&lt;기준값!$B$11,기준값!$B$16,IF(기준값!$B$19&gt;=기준값!$B$12,IF($A34&gt;=기준값!$B$13,기준값!$B$14,기준값!$B$16),IF($A34&gt;=기준값!$B$13,기준값!$B$16,기준값!$B$15)))))/기준값!$B$19</f>
        <v>-21081.5</v>
      </c>
      <c r="I34" s="6">
        <f>$A34*기준값!$B$7-기준값!$B$8-(거리구간표!$D$12*(IF(기준값!$B$19&lt;기준값!$B$11,기준값!$B$16,IF(기준값!$B$19&gt;=기준값!$B$12,IF($A34&gt;=기준값!$B$13,기준값!$B$14,기준값!$B$16),IF($A34&gt;=기준값!$B$13,기준값!$B$16,기준값!$B$15)))))/기준값!$B$19</f>
        <v>-21850.73076923077</v>
      </c>
      <c r="J34" s="6">
        <f>$A34*기준값!$B$7-기준값!$B$8-(거리구간표!$D$13*(IF(기준값!$B$19&lt;기준값!$B$11,기준값!$B$16,IF(기준값!$B$19&gt;=기준값!$B$12,IF($A34&gt;=기준값!$B$13,기준값!$B$14,기준값!$B$16),IF($A34&gt;=기준값!$B$13,기준값!$B$16,기준값!$B$15)))))/기준값!$B$19</f>
        <v>-22619.961538461539</v>
      </c>
    </row>
    <row r="35" spans="1:10" ht="14.25" customHeight="1">
      <c r="A35" s="34">
        <v>109</v>
      </c>
      <c r="B35" s="6">
        <f>$A35*기준값!$B$7-기준값!$B$8-(거리구간표!$D$5*(IF(기준값!$B$19&lt;기준값!$B$11,기준값!$B$16,IF(기준값!$B$19&gt;=기준값!$B$12,IF($A35&gt;=기준값!$B$13,기준값!$B$14,기준값!$B$16),IF($A35&gt;=기준값!$B$13,기준값!$B$16,기준값!$B$15)))))/기준값!$B$19</f>
        <v>-11818.009615384615</v>
      </c>
      <c r="C35" s="6">
        <f>$A35*기준값!$B$7-기준값!$B$8-(거리구간표!$D$6*(IF(기준값!$B$19&lt;기준값!$B$11,기준값!$B$16,IF(기준값!$B$19&gt;=기준값!$B$12,IF($A35&gt;=기준값!$B$13,기준값!$B$14,기준값!$B$16),IF($A35&gt;=기준값!$B$13,기준값!$B$16,기준값!$B$15)))))/기준값!$B$19</f>
        <v>-12587.240384615385</v>
      </c>
      <c r="D35" s="6">
        <f>$A35*기준값!$B$7-기준값!$B$8-(거리구간표!$D$7*(IF(기준값!$B$19&lt;기준값!$B$11,기준값!$B$16,IF(기준값!$B$19&gt;=기준값!$B$12,IF($A35&gt;=기준값!$B$13,기준값!$B$14,기준값!$B$16),IF($A35&gt;=기준값!$B$13,기준값!$B$16,기준값!$B$15)))))/기준값!$B$19</f>
        <v>-13356.471153846154</v>
      </c>
      <c r="E35" s="6">
        <f>$A35*기준값!$B$7-기준값!$B$8-(거리구간표!$D$8*(IF(기준값!$B$19&lt;기준값!$B$11,기준값!$B$16,IF(기준값!$B$19&gt;=기준값!$B$12,IF($A35&gt;=기준값!$B$13,기준값!$B$14,기준값!$B$16),IF($A35&gt;=기준값!$B$13,기준값!$B$16,기준값!$B$15)))))/기준값!$B$19</f>
        <v>-14894.932692307691</v>
      </c>
      <c r="F35" s="6">
        <f>$A35*기준값!$B$7-기준값!$B$8-(거리구간표!$D$9*(IF(기준값!$B$19&lt;기준값!$B$11,기준값!$B$16,IF(기준값!$B$19&gt;=기준값!$B$12,IF($A35&gt;=기준값!$B$13,기준값!$B$14,기준값!$B$16),IF($A35&gt;=기준값!$B$13,기준값!$B$16,기준값!$B$15)))))/기준값!$B$19</f>
        <v>-15664.163461538461</v>
      </c>
      <c r="G35" s="6">
        <f>$A35*기준값!$B$7-기준값!$B$8-(거리구간표!$D$10*(IF(기준값!$B$19&lt;기준값!$B$11,기준값!$B$16,IF(기준값!$B$19&gt;=기준값!$B$12,IF($A35&gt;=기준값!$B$13,기준값!$B$14,기준값!$B$16),IF($A35&gt;=기준값!$B$13,기준값!$B$16,기준값!$B$15)))))/기준값!$B$19</f>
        <v>-16433.39423076923</v>
      </c>
      <c r="H35" s="6">
        <f>$A35*기준값!$B$7-기준값!$B$8-(거리구간표!$D$11*(IF(기준값!$B$19&lt;기준값!$B$11,기준값!$B$16,IF(기준값!$B$19&gt;=기준값!$B$12,IF($A35&gt;=기준값!$B$13,기준값!$B$14,기준값!$B$16),IF($A35&gt;=기준값!$B$13,기준값!$B$16,기준값!$B$15)))))/기준값!$B$19</f>
        <v>-17202.625</v>
      </c>
      <c r="I35" s="6">
        <f>$A35*기준값!$B$7-기준값!$B$8-(거리구간표!$D$12*(IF(기준값!$B$19&lt;기준값!$B$11,기준값!$B$16,IF(기준값!$B$19&gt;=기준값!$B$12,IF($A35&gt;=기준값!$B$13,기준값!$B$14,기준값!$B$16),IF($A35&gt;=기준값!$B$13,기준값!$B$16,기준값!$B$15)))))/기준값!$B$19</f>
        <v>-17971.85576923077</v>
      </c>
      <c r="J35" s="6">
        <f>$A35*기준값!$B$7-기준값!$B$8-(거리구간표!$D$13*(IF(기준값!$B$19&lt;기준값!$B$11,기준값!$B$16,IF(기준값!$B$19&gt;=기준값!$B$12,IF($A35&gt;=기준값!$B$13,기준값!$B$14,기준값!$B$16),IF($A35&gt;=기준값!$B$13,기준값!$B$16,기준값!$B$15)))))/기준값!$B$19</f>
        <v>-18741.086538461539</v>
      </c>
    </row>
    <row r="36" spans="1:10" ht="14.25" customHeight="1">
      <c r="A36" s="34">
        <v>110</v>
      </c>
      <c r="B36" s="6">
        <f>$A36*기준값!$B$7-기준값!$B$8-(거리구간표!$D$5*(IF(기준값!$B$19&lt;기준값!$B$11,기준값!$B$16,IF(기준값!$B$19&gt;=기준값!$B$12,IF($A36&gt;=기준값!$B$13,기준값!$B$14,기준값!$B$16),IF($A36&gt;=기준값!$B$13,기준값!$B$16,기준값!$B$15)))))/기준값!$B$19</f>
        <v>-7939.1346153846152</v>
      </c>
      <c r="C36" s="6">
        <f>$A36*기준값!$B$7-기준값!$B$8-(거리구간표!$D$6*(IF(기준값!$B$19&lt;기준값!$B$11,기준값!$B$16,IF(기준값!$B$19&gt;=기준값!$B$12,IF($A36&gt;=기준값!$B$13,기준값!$B$14,기준값!$B$16),IF($A36&gt;=기준값!$B$13,기준값!$B$16,기준값!$B$15)))))/기준값!$B$19</f>
        <v>-8708.3653846153848</v>
      </c>
      <c r="D36" s="6">
        <f>$A36*기준값!$B$7-기준값!$B$8-(거리구간표!$D$7*(IF(기준값!$B$19&lt;기준값!$B$11,기준값!$B$16,IF(기준값!$B$19&gt;=기준값!$B$12,IF($A36&gt;=기준값!$B$13,기준값!$B$14,기준값!$B$16),IF($A36&gt;=기준값!$B$13,기준값!$B$16,기준값!$B$15)))))/기준값!$B$19</f>
        <v>-9477.5961538461543</v>
      </c>
      <c r="E36" s="6">
        <f>$A36*기준값!$B$7-기준값!$B$8-(거리구간표!$D$8*(IF(기준값!$B$19&lt;기준값!$B$11,기준값!$B$16,IF(기준값!$B$19&gt;=기준값!$B$12,IF($A36&gt;=기준값!$B$13,기준값!$B$14,기준값!$B$16),IF($A36&gt;=기준값!$B$13,기준값!$B$16,기준값!$B$15)))))/기준값!$B$19</f>
        <v>-11016.057692307691</v>
      </c>
      <c r="F36" s="6">
        <f>$A36*기준값!$B$7-기준값!$B$8-(거리구간표!$D$9*(IF(기준값!$B$19&lt;기준값!$B$11,기준값!$B$16,IF(기준값!$B$19&gt;=기준값!$B$12,IF($A36&gt;=기준값!$B$13,기준값!$B$14,기준값!$B$16),IF($A36&gt;=기준값!$B$13,기준값!$B$16,기준값!$B$15)))))/기준값!$B$19</f>
        <v>-11785.288461538461</v>
      </c>
      <c r="G36" s="6">
        <f>$A36*기준값!$B$7-기준값!$B$8-(거리구간표!$D$10*(IF(기준값!$B$19&lt;기준값!$B$11,기준값!$B$16,IF(기준값!$B$19&gt;=기준값!$B$12,IF($A36&gt;=기준값!$B$13,기준값!$B$14,기준값!$B$16),IF($A36&gt;=기준값!$B$13,기준값!$B$16,기준값!$B$15)))))/기준값!$B$19</f>
        <v>-12554.51923076923</v>
      </c>
      <c r="H36" s="6">
        <f>$A36*기준값!$B$7-기준값!$B$8-(거리구간표!$D$11*(IF(기준값!$B$19&lt;기준값!$B$11,기준값!$B$16,IF(기준값!$B$19&gt;=기준값!$B$12,IF($A36&gt;=기준값!$B$13,기준값!$B$14,기준값!$B$16),IF($A36&gt;=기준값!$B$13,기준값!$B$16,기준값!$B$15)))))/기준값!$B$19</f>
        <v>-13323.75</v>
      </c>
      <c r="I36" s="6">
        <f>$A36*기준값!$B$7-기준값!$B$8-(거리구간표!$D$12*(IF(기준값!$B$19&lt;기준값!$B$11,기준값!$B$16,IF(기준값!$B$19&gt;=기준값!$B$12,IF($A36&gt;=기준값!$B$13,기준값!$B$14,기준값!$B$16),IF($A36&gt;=기준값!$B$13,기준값!$B$16,기준값!$B$15)))))/기준값!$B$19</f>
        <v>-14092.98076923077</v>
      </c>
      <c r="J36" s="6">
        <f>$A36*기준값!$B$7-기준값!$B$8-(거리구간표!$D$13*(IF(기준값!$B$19&lt;기준값!$B$11,기준값!$B$16,IF(기준값!$B$19&gt;=기준값!$B$12,IF($A36&gt;=기준값!$B$13,기준값!$B$14,기준값!$B$16),IF($A36&gt;=기준값!$B$13,기준값!$B$16,기준값!$B$15)))))/기준값!$B$19</f>
        <v>-14862.211538461539</v>
      </c>
    </row>
    <row r="37" spans="1:10" ht="14.25" customHeight="1">
      <c r="A37" s="34">
        <v>111</v>
      </c>
      <c r="B37" s="6">
        <f>$A37*기준값!$B$7-기준값!$B$8-(거리구간표!$D$5*(IF(기준값!$B$19&lt;기준값!$B$11,기준값!$B$16,IF(기준값!$B$19&gt;=기준값!$B$12,IF($A37&gt;=기준값!$B$13,기준값!$B$14,기준값!$B$16),IF($A37&gt;=기준값!$B$13,기준값!$B$16,기준값!$B$15)))))/기준값!$B$19</f>
        <v>-4060.2596153846152</v>
      </c>
      <c r="C37" s="6">
        <f>$A37*기준값!$B$7-기준값!$B$8-(거리구간표!$D$6*(IF(기준값!$B$19&lt;기준값!$B$11,기준값!$B$16,IF(기준값!$B$19&gt;=기준값!$B$12,IF($A37&gt;=기준값!$B$13,기준값!$B$14,기준값!$B$16),IF($A37&gt;=기준값!$B$13,기준값!$B$16,기준값!$B$15)))))/기준값!$B$19</f>
        <v>-4829.4903846153848</v>
      </c>
      <c r="D37" s="6">
        <f>$A37*기준값!$B$7-기준값!$B$8-(거리구간표!$D$7*(IF(기준값!$B$19&lt;기준값!$B$11,기준값!$B$16,IF(기준값!$B$19&gt;=기준값!$B$12,IF($A37&gt;=기준값!$B$13,기준값!$B$14,기준값!$B$16),IF($A37&gt;=기준값!$B$13,기준값!$B$16,기준값!$B$15)))))/기준값!$B$19</f>
        <v>-5598.7211538461543</v>
      </c>
      <c r="E37" s="6">
        <f>$A37*기준값!$B$7-기준값!$B$8-(거리구간표!$D$8*(IF(기준값!$B$19&lt;기준값!$B$11,기준값!$B$16,IF(기준값!$B$19&gt;=기준값!$B$12,IF($A37&gt;=기준값!$B$13,기준값!$B$14,기준값!$B$16),IF($A37&gt;=기준값!$B$13,기준값!$B$16,기준값!$B$15)))))/기준값!$B$19</f>
        <v>-7137.1826923076924</v>
      </c>
      <c r="F37" s="6">
        <f>$A37*기준값!$B$7-기준값!$B$8-(거리구간표!$D$9*(IF(기준값!$B$19&lt;기준값!$B$11,기준값!$B$16,IF(기준값!$B$19&gt;=기준값!$B$12,IF($A37&gt;=기준값!$B$13,기준값!$B$14,기준값!$B$16),IF($A37&gt;=기준값!$B$13,기준값!$B$16,기준값!$B$15)))))/기준값!$B$19</f>
        <v>-7906.413461538461</v>
      </c>
      <c r="G37" s="6">
        <f>$A37*기준값!$B$7-기준값!$B$8-(거리구간표!$D$10*(IF(기준값!$B$19&lt;기준값!$B$11,기준값!$B$16,IF(기준값!$B$19&gt;=기준값!$B$12,IF($A37&gt;=기준값!$B$13,기준값!$B$14,기준값!$B$16),IF($A37&gt;=기준값!$B$13,기준값!$B$16,기준값!$B$15)))))/기준값!$B$19</f>
        <v>-8675.6442307692305</v>
      </c>
      <c r="H37" s="6">
        <f>$A37*기준값!$B$7-기준값!$B$8-(거리구간표!$D$11*(IF(기준값!$B$19&lt;기준값!$B$11,기준값!$B$16,IF(기준값!$B$19&gt;=기준값!$B$12,IF($A37&gt;=기준값!$B$13,기준값!$B$14,기준값!$B$16),IF($A37&gt;=기준값!$B$13,기준값!$B$16,기준값!$B$15)))))/기준값!$B$19</f>
        <v>-9444.875</v>
      </c>
      <c r="I37" s="6">
        <f>$A37*기준값!$B$7-기준값!$B$8-(거리구간표!$D$12*(IF(기준값!$B$19&lt;기준값!$B$11,기준값!$B$16,IF(기준값!$B$19&gt;=기준값!$B$12,IF($A37&gt;=기준값!$B$13,기준값!$B$14,기준값!$B$16),IF($A37&gt;=기준값!$B$13,기준값!$B$16,기준값!$B$15)))))/기준값!$B$19</f>
        <v>-10214.10576923077</v>
      </c>
      <c r="J37" s="6">
        <f>$A37*기준값!$B$7-기준값!$B$8-(거리구간표!$D$13*(IF(기준값!$B$19&lt;기준값!$B$11,기준값!$B$16,IF(기준값!$B$19&gt;=기준값!$B$12,IF($A37&gt;=기준값!$B$13,기준값!$B$14,기준값!$B$16),IF($A37&gt;=기준값!$B$13,기준값!$B$16,기준값!$B$15)))))/기준값!$B$19</f>
        <v>-10983.336538461539</v>
      </c>
    </row>
    <row r="38" spans="1:10" ht="14.25" customHeight="1">
      <c r="A38" s="34">
        <v>112</v>
      </c>
      <c r="B38" s="6">
        <f>$A38*기준값!$B$7-기준값!$B$8-(거리구간표!$D$5*(IF(기준값!$B$19&lt;기준값!$B$11,기준값!$B$16,IF(기준값!$B$19&gt;=기준값!$B$12,IF($A38&gt;=기준값!$B$13,기준값!$B$14,기준값!$B$16),IF($A38&gt;=기준값!$B$13,기준값!$B$16,기준값!$B$15)))))/기준값!$B$19</f>
        <v>-181.38461538461524</v>
      </c>
      <c r="C38" s="6">
        <f>$A38*기준값!$B$7-기준값!$B$8-(거리구간표!$D$6*(IF(기준값!$B$19&lt;기준값!$B$11,기준값!$B$16,IF(기준값!$B$19&gt;=기준값!$B$12,IF($A38&gt;=기준값!$B$13,기준값!$B$14,기준값!$B$16),IF($A38&gt;=기준값!$B$13,기준값!$B$16,기준값!$B$15)))))/기준값!$B$19</f>
        <v>-950.61538461538476</v>
      </c>
      <c r="D38" s="6">
        <f>$A38*기준값!$B$7-기준값!$B$8-(거리구간표!$D$7*(IF(기준값!$B$19&lt;기준값!$B$11,기준값!$B$16,IF(기준값!$B$19&gt;=기준값!$B$12,IF($A38&gt;=기준값!$B$13,기준값!$B$14,기준값!$B$16),IF($A38&gt;=기준값!$B$13,기준값!$B$16,기준값!$B$15)))))/기준값!$B$19</f>
        <v>-1719.8461538461543</v>
      </c>
      <c r="E38" s="6">
        <f>$A38*기준값!$B$7-기준값!$B$8-(거리구간표!$D$8*(IF(기준값!$B$19&lt;기준값!$B$11,기준값!$B$16,IF(기준값!$B$19&gt;=기준값!$B$12,IF($A38&gt;=기준값!$B$13,기준값!$B$14,기준값!$B$16),IF($A38&gt;=기준값!$B$13,기준값!$B$16,기준값!$B$15)))))/기준값!$B$19</f>
        <v>-3258.3076923076924</v>
      </c>
      <c r="F38" s="6">
        <f>$A38*기준값!$B$7-기준값!$B$8-(거리구간표!$D$9*(IF(기준값!$B$19&lt;기준값!$B$11,기준값!$B$16,IF(기준값!$B$19&gt;=기준값!$B$12,IF($A38&gt;=기준값!$B$13,기준값!$B$14,기준값!$B$16),IF($A38&gt;=기준값!$B$13,기준값!$B$16,기준값!$B$15)))))/기준값!$B$19</f>
        <v>-4027.538461538461</v>
      </c>
      <c r="G38" s="6">
        <f>$A38*기준값!$B$7-기준값!$B$8-(거리구간표!$D$10*(IF(기준값!$B$19&lt;기준값!$B$11,기준값!$B$16,IF(기준값!$B$19&gt;=기준값!$B$12,IF($A38&gt;=기준값!$B$13,기준값!$B$14,기준값!$B$16),IF($A38&gt;=기준값!$B$13,기준값!$B$16,기준값!$B$15)))))/기준값!$B$19</f>
        <v>-4796.7692307692305</v>
      </c>
      <c r="H38" s="6">
        <f>$A38*기준값!$B$7-기준값!$B$8-(거리구간표!$D$11*(IF(기준값!$B$19&lt;기준값!$B$11,기준값!$B$16,IF(기준값!$B$19&gt;=기준값!$B$12,IF($A38&gt;=기준값!$B$13,기준값!$B$14,기준값!$B$16),IF($A38&gt;=기준값!$B$13,기준값!$B$16,기준값!$B$15)))))/기준값!$B$19</f>
        <v>-5566</v>
      </c>
      <c r="I38" s="6">
        <f>$A38*기준값!$B$7-기준값!$B$8-(거리구간표!$D$12*(IF(기준값!$B$19&lt;기준값!$B$11,기준값!$B$16,IF(기준값!$B$19&gt;=기준값!$B$12,IF($A38&gt;=기준값!$B$13,기준값!$B$14,기준값!$B$16),IF($A38&gt;=기준값!$B$13,기준값!$B$16,기준값!$B$15)))))/기준값!$B$19</f>
        <v>-6335.2307692307695</v>
      </c>
      <c r="J38" s="6">
        <f>$A38*기준값!$B$7-기준값!$B$8-(거리구간표!$D$13*(IF(기준값!$B$19&lt;기준값!$B$11,기준값!$B$16,IF(기준값!$B$19&gt;=기준값!$B$12,IF($A38&gt;=기준값!$B$13,기준값!$B$14,기준값!$B$16),IF($A38&gt;=기준값!$B$13,기준값!$B$16,기준값!$B$15)))))/기준값!$B$19</f>
        <v>-7104.461538461539</v>
      </c>
    </row>
    <row r="39" spans="1:10" ht="14.25" customHeight="1">
      <c r="A39" s="35">
        <v>113</v>
      </c>
      <c r="B39" s="14">
        <f>$A39*기준값!$B$7-기준값!$B$8-(거리구간표!$D$5*(IF(기준값!$B$19&lt;기준값!$B$11,기준값!$B$16,IF(기준값!$B$19&gt;=기준값!$B$12,IF($A39&gt;=기준값!$B$13,기준값!$B$14,기준값!$B$16),IF($A39&gt;=기준값!$B$13,기준값!$B$16,기준값!$B$15)))))/기준값!$B$19</f>
        <v>3697.4903846153848</v>
      </c>
      <c r="C39" s="14">
        <f>$A39*기준값!$B$7-기준값!$B$8-(거리구간표!$D$6*(IF(기준값!$B$19&lt;기준값!$B$11,기준값!$B$16,IF(기준값!$B$19&gt;=기준값!$B$12,IF($A39&gt;=기준값!$B$13,기준값!$B$14,기준값!$B$16),IF($A39&gt;=기준값!$B$13,기준값!$B$16,기준값!$B$15)))))/기준값!$B$19</f>
        <v>2928.2596153846152</v>
      </c>
      <c r="D39" s="14">
        <f>$A39*기준값!$B$7-기준값!$B$8-(거리구간표!$D$7*(IF(기준값!$B$19&lt;기준값!$B$11,기준값!$B$16,IF(기준값!$B$19&gt;=기준값!$B$12,IF($A39&gt;=기준값!$B$13,기준값!$B$14,기준값!$B$16),IF($A39&gt;=기준값!$B$13,기준값!$B$16,기준값!$B$15)))))/기준값!$B$19</f>
        <v>2159.0288461538457</v>
      </c>
      <c r="E39" s="14">
        <f>$A39*기준값!$B$7-기준값!$B$8-(거리구간표!$D$8*(IF(기준값!$B$19&lt;기준값!$B$11,기준값!$B$16,IF(기준값!$B$19&gt;=기준값!$B$12,IF($A39&gt;=기준값!$B$13,기준값!$B$14,기준값!$B$16),IF($A39&gt;=기준값!$B$13,기준값!$B$16,기준값!$B$15)))))/기준값!$B$19</f>
        <v>620.56730769230762</v>
      </c>
      <c r="F39" s="14">
        <f>$A39*기준값!$B$7-기준값!$B$8-(거리구간표!$D$9*(IF(기준값!$B$19&lt;기준값!$B$11,기준값!$B$16,IF(기준값!$B$19&gt;=기준값!$B$12,IF($A39&gt;=기준값!$B$13,기준값!$B$14,기준값!$B$16),IF($A39&gt;=기준값!$B$13,기준값!$B$16,기준값!$B$15)))))/기준값!$B$19</f>
        <v>-148.66346153846098</v>
      </c>
      <c r="G39" s="14">
        <f>$A39*기준값!$B$7-기준값!$B$8-(거리구간표!$D$10*(IF(기준값!$B$19&lt;기준값!$B$11,기준값!$B$16,IF(기준값!$B$19&gt;=기준값!$B$12,IF($A39&gt;=기준값!$B$13,기준값!$B$14,기준값!$B$16),IF($A39&gt;=기준값!$B$13,기준값!$B$16,기준값!$B$15)))))/기준값!$B$19</f>
        <v>-917.89423076923049</v>
      </c>
      <c r="H39" s="14">
        <f>$A39*기준값!$B$7-기준값!$B$8-(거리구간표!$D$11*(IF(기준값!$B$19&lt;기준값!$B$11,기준값!$B$16,IF(기준값!$B$19&gt;=기준값!$B$12,IF($A39&gt;=기준값!$B$13,기준값!$B$14,기준값!$B$16),IF($A39&gt;=기준값!$B$13,기준값!$B$16,기준값!$B$15)))))/기준값!$B$19</f>
        <v>-1687.125</v>
      </c>
      <c r="I39" s="14">
        <f>$A39*기준값!$B$7-기준값!$B$8-(거리구간표!$D$12*(IF(기준값!$B$19&lt;기준값!$B$11,기준값!$B$16,IF(기준값!$B$19&gt;=기준값!$B$12,IF($A39&gt;=기준값!$B$13,기준값!$B$14,기준값!$B$16),IF($A39&gt;=기준값!$B$13,기준값!$B$16,기준값!$B$15)))))/기준값!$B$19</f>
        <v>-2456.3557692307695</v>
      </c>
      <c r="J39" s="14">
        <f>$A39*기준값!$B$7-기준값!$B$8-(거리구간표!$D$13*(IF(기준값!$B$19&lt;기준값!$B$11,기준값!$B$16,IF(기준값!$B$19&gt;=기준값!$B$12,IF($A39&gt;=기준값!$B$13,기준값!$B$14,기준값!$B$16),IF($A39&gt;=기준값!$B$13,기준값!$B$16,기준값!$B$15)))))/기준값!$B$19</f>
        <v>-3225.586538461539</v>
      </c>
    </row>
    <row r="40" spans="1:10" ht="14.25" customHeight="1">
      <c r="A40" s="34">
        <v>114</v>
      </c>
      <c r="B40" s="6">
        <f>$A40*기준값!$B$7-기준값!$B$8-(거리구간표!$D$5*(IF(기준값!$B$19&lt;기준값!$B$11,기준값!$B$16,IF(기준값!$B$19&gt;=기준값!$B$12,IF($A40&gt;=기준값!$B$13,기준값!$B$14,기준값!$B$16),IF($A40&gt;=기준값!$B$13,기준값!$B$16,기준값!$B$15)))))/기준값!$B$19</f>
        <v>7576.3653846153848</v>
      </c>
      <c r="C40" s="6">
        <f>$A40*기준값!$B$7-기준값!$B$8-(거리구간표!$D$6*(IF(기준값!$B$19&lt;기준값!$B$11,기준값!$B$16,IF(기준값!$B$19&gt;=기준값!$B$12,IF($A40&gt;=기준값!$B$13,기준값!$B$14,기준값!$B$16),IF($A40&gt;=기준값!$B$13,기준값!$B$16,기준값!$B$15)))))/기준값!$B$19</f>
        <v>6807.1346153846152</v>
      </c>
      <c r="D40" s="6">
        <f>$A40*기준값!$B$7-기준값!$B$8-(거리구간표!$D$7*(IF(기준값!$B$19&lt;기준값!$B$11,기준값!$B$16,IF(기준값!$B$19&gt;=기준값!$B$12,IF($A40&gt;=기준값!$B$13,기준값!$B$14,기준값!$B$16),IF($A40&gt;=기준값!$B$13,기준값!$B$16,기준값!$B$15)))))/기준값!$B$19</f>
        <v>6037.9038461538457</v>
      </c>
      <c r="E40" s="6">
        <f>$A40*기준값!$B$7-기준값!$B$8-(거리구간표!$D$8*(IF(기준값!$B$19&lt;기준값!$B$11,기준값!$B$16,IF(기준값!$B$19&gt;=기준값!$B$12,IF($A40&gt;=기준값!$B$13,기준값!$B$14,기준값!$B$16),IF($A40&gt;=기준값!$B$13,기준값!$B$16,기준값!$B$15)))))/기준값!$B$19</f>
        <v>4499.4423076923076</v>
      </c>
      <c r="F40" s="6">
        <f>$A40*기준값!$B$7-기준값!$B$8-(거리구간표!$D$9*(IF(기준값!$B$19&lt;기준값!$B$11,기준값!$B$16,IF(기준값!$B$19&gt;=기준값!$B$12,IF($A40&gt;=기준값!$B$13,기준값!$B$14,기준값!$B$16),IF($A40&gt;=기준값!$B$13,기준값!$B$16,기준값!$B$15)))))/기준값!$B$19</f>
        <v>3730.211538461539</v>
      </c>
      <c r="G40" s="6">
        <f>$A40*기준값!$B$7-기준값!$B$8-(거리구간표!$D$10*(IF(기준값!$B$19&lt;기준값!$B$11,기준값!$B$16,IF(기준값!$B$19&gt;=기준값!$B$12,IF($A40&gt;=기준값!$B$13,기준값!$B$14,기준값!$B$16),IF($A40&gt;=기준값!$B$13,기준값!$B$16,기준값!$B$15)))))/기준값!$B$19</f>
        <v>2960.9807692307695</v>
      </c>
      <c r="H40" s="6">
        <f>$A40*기준값!$B$7-기준값!$B$8-(거리구간표!$D$11*(IF(기준값!$B$19&lt;기준값!$B$11,기준값!$B$16,IF(기준값!$B$19&gt;=기준값!$B$12,IF($A40&gt;=기준값!$B$13,기준값!$B$14,기준값!$B$16),IF($A40&gt;=기준값!$B$13,기준값!$B$16,기준값!$B$15)))))/기준값!$B$19</f>
        <v>2191.75</v>
      </c>
      <c r="I40" s="6">
        <f>$A40*기준값!$B$7-기준값!$B$8-(거리구간표!$D$12*(IF(기준값!$B$19&lt;기준값!$B$11,기준값!$B$16,IF(기준값!$B$19&gt;=기준값!$B$12,IF($A40&gt;=기준값!$B$13,기준값!$B$14,기준값!$B$16),IF($A40&gt;=기준값!$B$13,기준값!$B$16,기준값!$B$15)))))/기준값!$B$19</f>
        <v>1422.5192307692305</v>
      </c>
      <c r="J40" s="6">
        <f>$A40*기준값!$B$7-기준값!$B$8-(거리구간표!$D$13*(IF(기준값!$B$19&lt;기준값!$B$11,기준값!$B$16,IF(기준값!$B$19&gt;=기준값!$B$12,IF($A40&gt;=기준값!$B$13,기준값!$B$14,기준값!$B$16),IF($A40&gt;=기준값!$B$13,기준값!$B$16,기준값!$B$15)))))/기준값!$B$19</f>
        <v>653.28846153846098</v>
      </c>
    </row>
    <row r="41" spans="1:10" ht="14.25" customHeight="1">
      <c r="A41" s="34">
        <v>115</v>
      </c>
      <c r="B41" s="6">
        <f>$A41*기준값!$B$7-기준값!$B$8-(거리구간표!$D$5*(IF(기준값!$B$19&lt;기준값!$B$11,기준값!$B$16,IF(기준값!$B$19&gt;=기준값!$B$12,IF($A41&gt;=기준값!$B$13,기준값!$B$14,기준값!$B$16),IF($A41&gt;=기준값!$B$13,기준값!$B$16,기준값!$B$15)))))/기준값!$B$19</f>
        <v>11455.240384615385</v>
      </c>
      <c r="C41" s="6">
        <f>$A41*기준값!$B$7-기준값!$B$8-(거리구간표!$D$6*(IF(기준값!$B$19&lt;기준값!$B$11,기준값!$B$16,IF(기준값!$B$19&gt;=기준값!$B$12,IF($A41&gt;=기준값!$B$13,기준값!$B$14,기준값!$B$16),IF($A41&gt;=기준값!$B$13,기준값!$B$16,기준값!$B$15)))))/기준값!$B$19</f>
        <v>10686.009615384615</v>
      </c>
      <c r="D41" s="6">
        <f>$A41*기준값!$B$7-기준값!$B$8-(거리구간표!$D$7*(IF(기준값!$B$19&lt;기준값!$B$11,기준값!$B$16,IF(기준값!$B$19&gt;=기준값!$B$12,IF($A41&gt;=기준값!$B$13,기준값!$B$14,기준값!$B$16),IF($A41&gt;=기준값!$B$13,기준값!$B$16,기준값!$B$15)))))/기준값!$B$19</f>
        <v>9916.7788461538457</v>
      </c>
      <c r="E41" s="6">
        <f>$A41*기준값!$B$7-기준값!$B$8-(거리구간표!$D$8*(IF(기준값!$B$19&lt;기준값!$B$11,기준값!$B$16,IF(기준값!$B$19&gt;=기준값!$B$12,IF($A41&gt;=기준값!$B$13,기준값!$B$14,기준값!$B$16),IF($A41&gt;=기준값!$B$13,기준값!$B$16,기준값!$B$15)))))/기준값!$B$19</f>
        <v>8378.3173076923085</v>
      </c>
      <c r="F41" s="6">
        <f>$A41*기준값!$B$7-기준값!$B$8-(거리구간표!$D$9*(IF(기준값!$B$19&lt;기준값!$B$11,기준값!$B$16,IF(기준값!$B$19&gt;=기준값!$B$12,IF($A41&gt;=기준값!$B$13,기준값!$B$14,기준값!$B$16),IF($A41&gt;=기준값!$B$13,기준값!$B$16,기준값!$B$15)))))/기준값!$B$19</f>
        <v>7609.086538461539</v>
      </c>
      <c r="G41" s="6">
        <f>$A41*기준값!$B$7-기준값!$B$8-(거리구간표!$D$10*(IF(기준값!$B$19&lt;기준값!$B$11,기준값!$B$16,IF(기준값!$B$19&gt;=기준값!$B$12,IF($A41&gt;=기준값!$B$13,기준값!$B$14,기준값!$B$16),IF($A41&gt;=기준값!$B$13,기준값!$B$16,기준값!$B$15)))))/기준값!$B$19</f>
        <v>6839.8557692307695</v>
      </c>
      <c r="H41" s="6">
        <f>$A41*기준값!$B$7-기준값!$B$8-(거리구간표!$D$11*(IF(기준값!$B$19&lt;기준값!$B$11,기준값!$B$16,IF(기준값!$B$19&gt;=기준값!$B$12,IF($A41&gt;=기준값!$B$13,기준값!$B$14,기준값!$B$16),IF($A41&gt;=기준값!$B$13,기준값!$B$16,기준값!$B$15)))))/기준값!$B$19</f>
        <v>6070.625</v>
      </c>
      <c r="I41" s="6">
        <f>$A41*기준값!$B$7-기준값!$B$8-(거리구간표!$D$12*(IF(기준값!$B$19&lt;기준값!$B$11,기준값!$B$16,IF(기준값!$B$19&gt;=기준값!$B$12,IF($A41&gt;=기준값!$B$13,기준값!$B$14,기준값!$B$16),IF($A41&gt;=기준값!$B$13,기준값!$B$16,기준값!$B$15)))))/기준값!$B$19</f>
        <v>5301.3942307692305</v>
      </c>
      <c r="J41" s="6">
        <f>$A41*기준값!$B$7-기준값!$B$8-(거리구간표!$D$13*(IF(기준값!$B$19&lt;기준값!$B$11,기준값!$B$16,IF(기준값!$B$19&gt;=기준값!$B$12,IF($A41&gt;=기준값!$B$13,기준값!$B$14,기준값!$B$16),IF($A41&gt;=기준값!$B$13,기준값!$B$16,기준값!$B$15)))))/기준값!$B$19</f>
        <v>4532.163461538461</v>
      </c>
    </row>
    <row r="42" spans="1:10" ht="14.25" customHeight="1">
      <c r="A42" s="34">
        <v>116</v>
      </c>
      <c r="B42" s="6">
        <f>$A42*기준값!$B$7-기준값!$B$8-(거리구간표!$D$5*(IF(기준값!$B$19&lt;기준값!$B$11,기준값!$B$16,IF(기준값!$B$19&gt;=기준값!$B$12,IF($A42&gt;=기준값!$B$13,기준값!$B$14,기준값!$B$16),IF($A42&gt;=기준값!$B$13,기준값!$B$16,기준값!$B$15)))))/기준값!$B$19</f>
        <v>15334.115384615385</v>
      </c>
      <c r="C42" s="6">
        <f>$A42*기준값!$B$7-기준값!$B$8-(거리구간표!$D$6*(IF(기준값!$B$19&lt;기준값!$B$11,기준값!$B$16,IF(기준값!$B$19&gt;=기준값!$B$12,IF($A42&gt;=기준값!$B$13,기준값!$B$14,기준값!$B$16),IF($A42&gt;=기준값!$B$13,기준값!$B$16,기준값!$B$15)))))/기준값!$B$19</f>
        <v>14564.884615384615</v>
      </c>
      <c r="D42" s="6">
        <f>$A42*기준값!$B$7-기준값!$B$8-(거리구간표!$D$7*(IF(기준값!$B$19&lt;기준값!$B$11,기준값!$B$16,IF(기준값!$B$19&gt;=기준값!$B$12,IF($A42&gt;=기준값!$B$13,기준값!$B$14,기준값!$B$16),IF($A42&gt;=기준값!$B$13,기준값!$B$16,기준값!$B$15)))))/기준값!$B$19</f>
        <v>13795.653846153846</v>
      </c>
      <c r="E42" s="6">
        <f>$A42*기준값!$B$7-기준값!$B$8-(거리구간표!$D$8*(IF(기준값!$B$19&lt;기준값!$B$11,기준값!$B$16,IF(기준값!$B$19&gt;=기준값!$B$12,IF($A42&gt;=기준값!$B$13,기준값!$B$14,기준값!$B$16),IF($A42&gt;=기준값!$B$13,기준값!$B$16,기준값!$B$15)))))/기준값!$B$19</f>
        <v>12257.192307692309</v>
      </c>
      <c r="F42" s="6">
        <f>$A42*기준값!$B$7-기준값!$B$8-(거리구간표!$D$9*(IF(기준값!$B$19&lt;기준값!$B$11,기준값!$B$16,IF(기준값!$B$19&gt;=기준값!$B$12,IF($A42&gt;=기준값!$B$13,기준값!$B$14,기준값!$B$16),IF($A42&gt;=기준값!$B$13,기준값!$B$16,기준값!$B$15)))))/기준값!$B$19</f>
        <v>11487.961538461539</v>
      </c>
      <c r="G42" s="6">
        <f>$A42*기준값!$B$7-기준값!$B$8-(거리구간표!$D$10*(IF(기준값!$B$19&lt;기준값!$B$11,기준값!$B$16,IF(기준값!$B$19&gt;=기준값!$B$12,IF($A42&gt;=기준값!$B$13,기준값!$B$14,기준값!$B$16),IF($A42&gt;=기준값!$B$13,기준값!$B$16,기준값!$B$15)))))/기준값!$B$19</f>
        <v>10718.73076923077</v>
      </c>
      <c r="H42" s="6">
        <f>$A42*기준값!$B$7-기준값!$B$8-(거리구간표!$D$11*(IF(기준값!$B$19&lt;기준값!$B$11,기준값!$B$16,IF(기준값!$B$19&gt;=기준값!$B$12,IF($A42&gt;=기준값!$B$13,기준값!$B$14,기준값!$B$16),IF($A42&gt;=기준값!$B$13,기준값!$B$16,기준값!$B$15)))))/기준값!$B$19</f>
        <v>9949.5</v>
      </c>
      <c r="I42" s="6">
        <f>$A42*기준값!$B$7-기준값!$B$8-(거리구간표!$D$12*(IF(기준값!$B$19&lt;기준값!$B$11,기준값!$B$16,IF(기준값!$B$19&gt;=기준값!$B$12,IF($A42&gt;=기준값!$B$13,기준값!$B$14,기준값!$B$16),IF($A42&gt;=기준값!$B$13,기준값!$B$16,기준값!$B$15)))))/기준값!$B$19</f>
        <v>9180.2692307692305</v>
      </c>
      <c r="J42" s="6">
        <f>$A42*기준값!$B$7-기준값!$B$8-(거리구간표!$D$13*(IF(기준값!$B$19&lt;기준값!$B$11,기준값!$B$16,IF(기준값!$B$19&gt;=기준값!$B$12,IF($A42&gt;=기준값!$B$13,기준값!$B$14,기준값!$B$16),IF($A42&gt;=기준값!$B$13,기준값!$B$16,기준값!$B$15)))))/기준값!$B$19</f>
        <v>8411.038461538461</v>
      </c>
    </row>
    <row r="43" spans="1:10" ht="14.25" customHeight="1">
      <c r="A43" s="34">
        <v>117</v>
      </c>
      <c r="B43" s="6">
        <f>$A43*기준값!$B$7-기준값!$B$8-(거리구간표!$D$5*(IF(기준값!$B$19&lt;기준값!$B$11,기준값!$B$16,IF(기준값!$B$19&gt;=기준값!$B$12,IF($A43&gt;=기준값!$B$13,기준값!$B$14,기준값!$B$16),IF($A43&gt;=기준값!$B$13,기준값!$B$16,기준값!$B$15)))))/기준값!$B$19</f>
        <v>19212.990384615383</v>
      </c>
      <c r="C43" s="6">
        <f>$A43*기준값!$B$7-기준값!$B$8-(거리구간표!$D$6*(IF(기준값!$B$19&lt;기준값!$B$11,기준값!$B$16,IF(기준값!$B$19&gt;=기준값!$B$12,IF($A43&gt;=기준값!$B$13,기준값!$B$14,기준값!$B$16),IF($A43&gt;=기준값!$B$13,기준값!$B$16,기준값!$B$15)))))/기준값!$B$19</f>
        <v>18443.759615384617</v>
      </c>
      <c r="D43" s="6">
        <f>$A43*기준값!$B$7-기준값!$B$8-(거리구간표!$D$7*(IF(기준값!$B$19&lt;기준값!$B$11,기준값!$B$16,IF(기준값!$B$19&gt;=기준값!$B$12,IF($A43&gt;=기준값!$B$13,기준값!$B$14,기준값!$B$16),IF($A43&gt;=기준값!$B$13,기준값!$B$16,기준값!$B$15)))))/기준값!$B$19</f>
        <v>17674.528846153844</v>
      </c>
      <c r="E43" s="6">
        <f>$A43*기준값!$B$7-기준값!$B$8-(거리구간표!$D$8*(IF(기준값!$B$19&lt;기준값!$B$11,기준값!$B$16,IF(기준값!$B$19&gt;=기준값!$B$12,IF($A43&gt;=기준값!$B$13,기준값!$B$14,기준값!$B$16),IF($A43&gt;=기준값!$B$13,기준값!$B$16,기준값!$B$15)))))/기준값!$B$19</f>
        <v>16136.067307692309</v>
      </c>
      <c r="F43" s="6">
        <f>$A43*기준값!$B$7-기준값!$B$8-(거리구간표!$D$9*(IF(기준값!$B$19&lt;기준값!$B$11,기준값!$B$16,IF(기준값!$B$19&gt;=기준값!$B$12,IF($A43&gt;=기준값!$B$13,기준값!$B$14,기준값!$B$16),IF($A43&gt;=기준값!$B$13,기준값!$B$16,기준값!$B$15)))))/기준값!$B$19</f>
        <v>15366.836538461539</v>
      </c>
      <c r="G43" s="6">
        <f>$A43*기준값!$B$7-기준값!$B$8-(거리구간표!$D$10*(IF(기준값!$B$19&lt;기준값!$B$11,기준값!$B$16,IF(기준값!$B$19&gt;=기준값!$B$12,IF($A43&gt;=기준값!$B$13,기준값!$B$14,기준값!$B$16),IF($A43&gt;=기준값!$B$13,기준값!$B$16,기준값!$B$15)))))/기준값!$B$19</f>
        <v>14597.60576923077</v>
      </c>
      <c r="H43" s="6">
        <f>$A43*기준값!$B$7-기준값!$B$8-(거리구간표!$D$11*(IF(기준값!$B$19&lt;기준값!$B$11,기준값!$B$16,IF(기준값!$B$19&gt;=기준값!$B$12,IF($A43&gt;=기준값!$B$13,기준값!$B$14,기준값!$B$16),IF($A43&gt;=기준값!$B$13,기준값!$B$16,기준값!$B$15)))))/기준값!$B$19</f>
        <v>13828.375</v>
      </c>
      <c r="I43" s="6">
        <f>$A43*기준값!$B$7-기준값!$B$8-(거리구간표!$D$12*(IF(기준값!$B$19&lt;기준값!$B$11,기준값!$B$16,IF(기준값!$B$19&gt;=기준값!$B$12,IF($A43&gt;=기준값!$B$13,기준값!$B$14,기준값!$B$16),IF($A43&gt;=기준값!$B$13,기준값!$B$16,기준값!$B$15)))))/기준값!$B$19</f>
        <v>13059.14423076923</v>
      </c>
      <c r="J43" s="6">
        <f>$A43*기준값!$B$7-기준값!$B$8-(거리구간표!$D$13*(IF(기준값!$B$19&lt;기준값!$B$11,기준값!$B$16,IF(기준값!$B$19&gt;=기준값!$B$12,IF($A43&gt;=기준값!$B$13,기준값!$B$14,기준값!$B$16),IF($A43&gt;=기준값!$B$13,기준값!$B$16,기준값!$B$15)))))/기준값!$B$19</f>
        <v>12289.913461538461</v>
      </c>
    </row>
    <row r="44" spans="1:10" ht="14.25" customHeight="1">
      <c r="A44" s="34">
        <v>118</v>
      </c>
      <c r="B44" s="6">
        <f>$A44*기준값!$B$7-기준값!$B$8-(거리구간표!$D$5*(IF(기준값!$B$19&lt;기준값!$B$11,기준값!$B$16,IF(기준값!$B$19&gt;=기준값!$B$12,IF($A44&gt;=기준값!$B$13,기준값!$B$14,기준값!$B$16),IF($A44&gt;=기준값!$B$13,기준값!$B$16,기준값!$B$15)))))/기준값!$B$19</f>
        <v>23091.865384615383</v>
      </c>
      <c r="C44" s="6">
        <f>$A44*기준값!$B$7-기준값!$B$8-(거리구간표!$D$6*(IF(기준값!$B$19&lt;기준값!$B$11,기준값!$B$16,IF(기준값!$B$19&gt;=기준값!$B$12,IF($A44&gt;=기준값!$B$13,기준값!$B$14,기준값!$B$16),IF($A44&gt;=기준값!$B$13,기준값!$B$16,기준값!$B$15)))))/기준값!$B$19</f>
        <v>22322.634615384617</v>
      </c>
      <c r="D44" s="6">
        <f>$A44*기준값!$B$7-기준값!$B$8-(거리구간표!$D$7*(IF(기준값!$B$19&lt;기준값!$B$11,기준값!$B$16,IF(기준값!$B$19&gt;=기준값!$B$12,IF($A44&gt;=기준값!$B$13,기준값!$B$14,기준값!$B$16),IF($A44&gt;=기준값!$B$13,기준값!$B$16,기준값!$B$15)))))/기준값!$B$19</f>
        <v>21553.403846153844</v>
      </c>
      <c r="E44" s="6">
        <f>$A44*기준값!$B$7-기준값!$B$8-(거리구간표!$D$8*(IF(기준값!$B$19&lt;기준값!$B$11,기준값!$B$16,IF(기준값!$B$19&gt;=기준값!$B$12,IF($A44&gt;=기준값!$B$13,기준값!$B$14,기준값!$B$16),IF($A44&gt;=기준값!$B$13,기준값!$B$16,기준값!$B$15)))))/기준값!$B$19</f>
        <v>20014.942307692309</v>
      </c>
      <c r="F44" s="6">
        <f>$A44*기준값!$B$7-기준값!$B$8-(거리구간표!$D$9*(IF(기준값!$B$19&lt;기준값!$B$11,기준값!$B$16,IF(기준값!$B$19&gt;=기준값!$B$12,IF($A44&gt;=기준값!$B$13,기준값!$B$14,기준값!$B$16),IF($A44&gt;=기준값!$B$13,기준값!$B$16,기준값!$B$15)))))/기준값!$B$19</f>
        <v>19245.711538461539</v>
      </c>
      <c r="G44" s="6">
        <f>$A44*기준값!$B$7-기준값!$B$8-(거리구간표!$D$10*(IF(기준값!$B$19&lt;기준값!$B$11,기준값!$B$16,IF(기준값!$B$19&gt;=기준값!$B$12,IF($A44&gt;=기준값!$B$13,기준값!$B$14,기준값!$B$16),IF($A44&gt;=기준값!$B$13,기준값!$B$16,기준값!$B$15)))))/기준값!$B$19</f>
        <v>18476.48076923077</v>
      </c>
      <c r="H44" s="6">
        <f>$A44*기준값!$B$7-기준값!$B$8-(거리구간표!$D$11*(IF(기준값!$B$19&lt;기준값!$B$11,기준값!$B$16,IF(기준값!$B$19&gt;=기준값!$B$12,IF($A44&gt;=기준값!$B$13,기준값!$B$14,기준값!$B$16),IF($A44&gt;=기준값!$B$13,기준값!$B$16,기준값!$B$15)))))/기준값!$B$19</f>
        <v>17707.25</v>
      </c>
      <c r="I44" s="6">
        <f>$A44*기준값!$B$7-기준값!$B$8-(거리구간표!$D$12*(IF(기준값!$B$19&lt;기준값!$B$11,기준값!$B$16,IF(기준값!$B$19&gt;=기준값!$B$12,IF($A44&gt;=기준값!$B$13,기준값!$B$14,기준값!$B$16),IF($A44&gt;=기준값!$B$13,기준값!$B$16,기준값!$B$15)))))/기준값!$B$19</f>
        <v>16938.01923076923</v>
      </c>
      <c r="J44" s="6">
        <f>$A44*기준값!$B$7-기준값!$B$8-(거리구간표!$D$13*(IF(기준값!$B$19&lt;기준값!$B$11,기준값!$B$16,IF(기준값!$B$19&gt;=기준값!$B$12,IF($A44&gt;=기준값!$B$13,기준값!$B$14,기준값!$B$16),IF($A44&gt;=기준값!$B$13,기준값!$B$16,기준값!$B$15)))))/기준값!$B$19</f>
        <v>16168.788461538461</v>
      </c>
    </row>
    <row r="45" spans="1:10" ht="14.25" customHeight="1">
      <c r="A45" s="34">
        <v>119</v>
      </c>
      <c r="B45" s="6">
        <f>$A45*기준값!$B$7-기준값!$B$8-(거리구간표!$D$5*(IF(기준값!$B$19&lt;기준값!$B$11,기준값!$B$16,IF(기준값!$B$19&gt;=기준값!$B$12,IF($A45&gt;=기준값!$B$13,기준값!$B$14,기준값!$B$16),IF($A45&gt;=기준값!$B$13,기준값!$B$16,기준값!$B$15)))))/기준값!$B$19</f>
        <v>26970.740384615383</v>
      </c>
      <c r="C45" s="6">
        <f>$A45*기준값!$B$7-기준값!$B$8-(거리구간표!$D$6*(IF(기준값!$B$19&lt;기준값!$B$11,기준값!$B$16,IF(기준값!$B$19&gt;=기준값!$B$12,IF($A45&gt;=기준값!$B$13,기준값!$B$14,기준값!$B$16),IF($A45&gt;=기준값!$B$13,기준값!$B$16,기준값!$B$15)))))/기준값!$B$19</f>
        <v>26201.509615384617</v>
      </c>
      <c r="D45" s="6">
        <f>$A45*기준값!$B$7-기준값!$B$8-(거리구간표!$D$7*(IF(기준값!$B$19&lt;기준값!$B$11,기준값!$B$16,IF(기준값!$B$19&gt;=기준값!$B$12,IF($A45&gt;=기준값!$B$13,기준값!$B$14,기준값!$B$16),IF($A45&gt;=기준값!$B$13,기준값!$B$16,기준값!$B$15)))))/기준값!$B$19</f>
        <v>25432.278846153844</v>
      </c>
      <c r="E45" s="6">
        <f>$A45*기준값!$B$7-기준값!$B$8-(거리구간표!$D$8*(IF(기준값!$B$19&lt;기준값!$B$11,기준값!$B$16,IF(기준값!$B$19&gt;=기준값!$B$12,IF($A45&gt;=기준값!$B$13,기준값!$B$14,기준값!$B$16),IF($A45&gt;=기준값!$B$13,기준값!$B$16,기준값!$B$15)))))/기준값!$B$19</f>
        <v>23893.817307692309</v>
      </c>
      <c r="F45" s="6">
        <f>$A45*기준값!$B$7-기준값!$B$8-(거리구간표!$D$9*(IF(기준값!$B$19&lt;기준값!$B$11,기준값!$B$16,IF(기준값!$B$19&gt;=기준값!$B$12,IF($A45&gt;=기준값!$B$13,기준값!$B$14,기준값!$B$16),IF($A45&gt;=기준값!$B$13,기준값!$B$16,기준값!$B$15)))))/기준값!$B$19</f>
        <v>23124.586538461539</v>
      </c>
      <c r="G45" s="6">
        <f>$A45*기준값!$B$7-기준값!$B$8-(거리구간표!$D$10*(IF(기준값!$B$19&lt;기준값!$B$11,기준값!$B$16,IF(기준값!$B$19&gt;=기준값!$B$12,IF($A45&gt;=기준값!$B$13,기준값!$B$14,기준값!$B$16),IF($A45&gt;=기준값!$B$13,기준값!$B$16,기준값!$B$15)))))/기준값!$B$19</f>
        <v>22355.35576923077</v>
      </c>
      <c r="H45" s="6">
        <f>$A45*기준값!$B$7-기준값!$B$8-(거리구간표!$D$11*(IF(기준값!$B$19&lt;기준값!$B$11,기준값!$B$16,IF(기준값!$B$19&gt;=기준값!$B$12,IF($A45&gt;=기준값!$B$13,기준값!$B$14,기준값!$B$16),IF($A45&gt;=기준값!$B$13,기준값!$B$16,기준값!$B$15)))))/기준값!$B$19</f>
        <v>21586.125</v>
      </c>
      <c r="I45" s="6">
        <f>$A45*기준값!$B$7-기준값!$B$8-(거리구간표!$D$12*(IF(기준값!$B$19&lt;기준값!$B$11,기준값!$B$16,IF(기준값!$B$19&gt;=기준값!$B$12,IF($A45&gt;=기준값!$B$13,기준값!$B$14,기준값!$B$16),IF($A45&gt;=기준값!$B$13,기준값!$B$16,기준값!$B$15)))))/기준값!$B$19</f>
        <v>20816.89423076923</v>
      </c>
      <c r="J45" s="6">
        <f>$A45*기준값!$B$7-기준값!$B$8-(거리구간표!$D$13*(IF(기준값!$B$19&lt;기준값!$B$11,기준값!$B$16,IF(기준값!$B$19&gt;=기준값!$B$12,IF($A45&gt;=기준값!$B$13,기준값!$B$14,기준값!$B$16),IF($A45&gt;=기준값!$B$13,기준값!$B$16,기준값!$B$15)))))/기준값!$B$19</f>
        <v>20047.663461538461</v>
      </c>
    </row>
    <row r="46" spans="1:10" ht="14.25" customHeight="1">
      <c r="A46" s="34">
        <v>120</v>
      </c>
      <c r="B46" s="6">
        <f>$A46*기준값!$B$7-기준값!$B$8-(거리구간표!$D$5*(IF(기준값!$B$19&lt;기준값!$B$11,기준값!$B$16,IF(기준값!$B$19&gt;=기준값!$B$12,IF($A46&gt;=기준값!$B$13,기준값!$B$14,기준값!$B$16),IF($A46&gt;=기준값!$B$13,기준값!$B$16,기준값!$B$15)))))/기준값!$B$19</f>
        <v>30849.615384615383</v>
      </c>
      <c r="C46" s="6">
        <f>$A46*기준값!$B$7-기준값!$B$8-(거리구간표!$D$6*(IF(기준값!$B$19&lt;기준값!$B$11,기준값!$B$16,IF(기준값!$B$19&gt;=기준값!$B$12,IF($A46&gt;=기준값!$B$13,기준값!$B$14,기준값!$B$16),IF($A46&gt;=기준값!$B$13,기준값!$B$16,기준값!$B$15)))))/기준값!$B$19</f>
        <v>30080.384615384617</v>
      </c>
      <c r="D46" s="6">
        <f>$A46*기준값!$B$7-기준값!$B$8-(거리구간표!$D$7*(IF(기준값!$B$19&lt;기준값!$B$11,기준값!$B$16,IF(기준값!$B$19&gt;=기준값!$B$12,IF($A46&gt;=기준값!$B$13,기준값!$B$14,기준값!$B$16),IF($A46&gt;=기준값!$B$13,기준값!$B$16,기준값!$B$15)))))/기준값!$B$19</f>
        <v>29311.153846153844</v>
      </c>
      <c r="E46" s="6">
        <f>$A46*기준값!$B$7-기준값!$B$8-(거리구간표!$D$8*(IF(기준값!$B$19&lt;기준값!$B$11,기준값!$B$16,IF(기준값!$B$19&gt;=기준값!$B$12,IF($A46&gt;=기준값!$B$13,기준값!$B$14,기준값!$B$16),IF($A46&gt;=기준값!$B$13,기준값!$B$16,기준값!$B$15)))))/기준값!$B$19</f>
        <v>27772.692307692309</v>
      </c>
      <c r="F46" s="6">
        <f>$A46*기준값!$B$7-기준값!$B$8-(거리구간표!$D$9*(IF(기준값!$B$19&lt;기준값!$B$11,기준값!$B$16,IF(기준값!$B$19&gt;=기준값!$B$12,IF($A46&gt;=기준값!$B$13,기준값!$B$14,기준값!$B$16),IF($A46&gt;=기준값!$B$13,기준값!$B$16,기준값!$B$15)))))/기준값!$B$19</f>
        <v>27003.461538461539</v>
      </c>
      <c r="G46" s="6">
        <f>$A46*기준값!$B$7-기준값!$B$8-(거리구간표!$D$10*(IF(기준값!$B$19&lt;기준값!$B$11,기준값!$B$16,IF(기준값!$B$19&gt;=기준값!$B$12,IF($A46&gt;=기준값!$B$13,기준값!$B$14,기준값!$B$16),IF($A46&gt;=기준값!$B$13,기준값!$B$16,기준값!$B$15)))))/기준값!$B$19</f>
        <v>26234.23076923077</v>
      </c>
      <c r="H46" s="6">
        <f>$A46*기준값!$B$7-기준값!$B$8-(거리구간표!$D$11*(IF(기준값!$B$19&lt;기준값!$B$11,기준값!$B$16,IF(기준값!$B$19&gt;=기준값!$B$12,IF($A46&gt;=기준값!$B$13,기준값!$B$14,기준값!$B$16),IF($A46&gt;=기준값!$B$13,기준값!$B$16,기준값!$B$15)))))/기준값!$B$19</f>
        <v>25465</v>
      </c>
      <c r="I46" s="6">
        <f>$A46*기준값!$B$7-기준값!$B$8-(거리구간표!$D$12*(IF(기준값!$B$19&lt;기준값!$B$11,기준값!$B$16,IF(기준값!$B$19&gt;=기준값!$B$12,IF($A46&gt;=기준값!$B$13,기준값!$B$14,기준값!$B$16),IF($A46&gt;=기준값!$B$13,기준값!$B$16,기준값!$B$15)))))/기준값!$B$19</f>
        <v>24695.76923076923</v>
      </c>
      <c r="J46" s="6">
        <f>$A46*기준값!$B$7-기준값!$B$8-(거리구간표!$D$13*(IF(기준값!$B$19&lt;기준값!$B$11,기준값!$B$16,IF(기준값!$B$19&gt;=기준값!$B$12,IF($A46&gt;=기준값!$B$13,기준값!$B$14,기준값!$B$16),IF($A46&gt;=기준값!$B$13,기준값!$B$16,기준값!$B$15)))))/기준값!$B$19</f>
        <v>23926.538461538461</v>
      </c>
    </row>
    <row r="47" spans="1:10" ht="14.25" customHeight="1">
      <c r="A47" s="34">
        <v>121</v>
      </c>
      <c r="B47" s="6">
        <f>$A47*기준값!$B$7-기준값!$B$8-(거리구간표!$D$5*(IF(기준값!$B$19&lt;기준값!$B$11,기준값!$B$16,IF(기준값!$B$19&gt;=기준값!$B$12,IF($A47&gt;=기준값!$B$13,기준값!$B$14,기준값!$B$16),IF($A47&gt;=기준값!$B$13,기준값!$B$16,기준값!$B$15)))))/기준값!$B$19</f>
        <v>34728.490384615383</v>
      </c>
      <c r="C47" s="6">
        <f>$A47*기준값!$B$7-기준값!$B$8-(거리구간표!$D$6*(IF(기준값!$B$19&lt;기준값!$B$11,기준값!$B$16,IF(기준값!$B$19&gt;=기준값!$B$12,IF($A47&gt;=기준값!$B$13,기준값!$B$14,기준값!$B$16),IF($A47&gt;=기준값!$B$13,기준값!$B$16,기준값!$B$15)))))/기준값!$B$19</f>
        <v>33959.259615384617</v>
      </c>
      <c r="D47" s="6">
        <f>$A47*기준값!$B$7-기준값!$B$8-(거리구간표!$D$7*(IF(기준값!$B$19&lt;기준값!$B$11,기준값!$B$16,IF(기준값!$B$19&gt;=기준값!$B$12,IF($A47&gt;=기준값!$B$13,기준값!$B$14,기준값!$B$16),IF($A47&gt;=기준값!$B$13,기준값!$B$16,기준값!$B$15)))))/기준값!$B$19</f>
        <v>33190.028846153844</v>
      </c>
      <c r="E47" s="6">
        <f>$A47*기준값!$B$7-기준값!$B$8-(거리구간표!$D$8*(IF(기준값!$B$19&lt;기준값!$B$11,기준값!$B$16,IF(기준값!$B$19&gt;=기준값!$B$12,IF($A47&gt;=기준값!$B$13,기준값!$B$14,기준값!$B$16),IF($A47&gt;=기준값!$B$13,기준값!$B$16,기준값!$B$15)))))/기준값!$B$19</f>
        <v>31651.567307692309</v>
      </c>
      <c r="F47" s="6">
        <f>$A47*기준값!$B$7-기준값!$B$8-(거리구간표!$D$9*(IF(기준값!$B$19&lt;기준값!$B$11,기준값!$B$16,IF(기준값!$B$19&gt;=기준값!$B$12,IF($A47&gt;=기준값!$B$13,기준값!$B$14,기준값!$B$16),IF($A47&gt;=기준값!$B$13,기준값!$B$16,기준값!$B$15)))))/기준값!$B$19</f>
        <v>30882.336538461539</v>
      </c>
      <c r="G47" s="6">
        <f>$A47*기준값!$B$7-기준값!$B$8-(거리구간표!$D$10*(IF(기준값!$B$19&lt;기준값!$B$11,기준값!$B$16,IF(기준값!$B$19&gt;=기준값!$B$12,IF($A47&gt;=기준값!$B$13,기준값!$B$14,기준값!$B$16),IF($A47&gt;=기준값!$B$13,기준값!$B$16,기준값!$B$15)))))/기준값!$B$19</f>
        <v>30113.10576923077</v>
      </c>
      <c r="H47" s="6">
        <f>$A47*기준값!$B$7-기준값!$B$8-(거리구간표!$D$11*(IF(기준값!$B$19&lt;기준값!$B$11,기준값!$B$16,IF(기준값!$B$19&gt;=기준값!$B$12,IF($A47&gt;=기준값!$B$13,기준값!$B$14,기준값!$B$16),IF($A47&gt;=기준값!$B$13,기준값!$B$16,기준값!$B$15)))))/기준값!$B$19</f>
        <v>29343.875</v>
      </c>
      <c r="I47" s="6">
        <f>$A47*기준값!$B$7-기준값!$B$8-(거리구간표!$D$12*(IF(기준값!$B$19&lt;기준값!$B$11,기준값!$B$16,IF(기준값!$B$19&gt;=기준값!$B$12,IF($A47&gt;=기준값!$B$13,기준값!$B$14,기준값!$B$16),IF($A47&gt;=기준값!$B$13,기준값!$B$16,기준값!$B$15)))))/기준값!$B$19</f>
        <v>28574.64423076923</v>
      </c>
      <c r="J47" s="6">
        <f>$A47*기준값!$B$7-기준값!$B$8-(거리구간표!$D$13*(IF(기준값!$B$19&lt;기준값!$B$11,기준값!$B$16,IF(기준값!$B$19&gt;=기준값!$B$12,IF($A47&gt;=기준값!$B$13,기준값!$B$14,기준값!$B$16),IF($A47&gt;=기준값!$B$13,기준값!$B$16,기준값!$B$15)))))/기준값!$B$19</f>
        <v>27805.413461538461</v>
      </c>
    </row>
    <row r="48" spans="1:10" ht="14.25" customHeight="1">
      <c r="A48" s="34">
        <v>122</v>
      </c>
      <c r="B48" s="6">
        <f>$A48*기준값!$B$7-기준값!$B$8-(거리구간표!$D$5*(IF(기준값!$B$19&lt;기준값!$B$11,기준값!$B$16,IF(기준값!$B$19&gt;=기준값!$B$12,IF($A48&gt;=기준값!$B$13,기준값!$B$14,기준값!$B$16),IF($A48&gt;=기준값!$B$13,기준값!$B$16,기준값!$B$15)))))/기준값!$B$19</f>
        <v>38607.365384615383</v>
      </c>
      <c r="C48" s="6">
        <f>$A48*기준값!$B$7-기준값!$B$8-(거리구간표!$D$6*(IF(기준값!$B$19&lt;기준값!$B$11,기준값!$B$16,IF(기준값!$B$19&gt;=기준값!$B$12,IF($A48&gt;=기준값!$B$13,기준값!$B$14,기준값!$B$16),IF($A48&gt;=기준값!$B$13,기준값!$B$16,기준값!$B$15)))))/기준값!$B$19</f>
        <v>37838.134615384617</v>
      </c>
      <c r="D48" s="6">
        <f>$A48*기준값!$B$7-기준값!$B$8-(거리구간표!$D$7*(IF(기준값!$B$19&lt;기준값!$B$11,기준값!$B$16,IF(기준값!$B$19&gt;=기준값!$B$12,IF($A48&gt;=기준값!$B$13,기준값!$B$14,기준값!$B$16),IF($A48&gt;=기준값!$B$13,기준값!$B$16,기준값!$B$15)))))/기준값!$B$19</f>
        <v>37068.903846153844</v>
      </c>
      <c r="E48" s="6">
        <f>$A48*기준값!$B$7-기준값!$B$8-(거리구간표!$D$8*(IF(기준값!$B$19&lt;기준값!$B$11,기준값!$B$16,IF(기준값!$B$19&gt;=기준값!$B$12,IF($A48&gt;=기준값!$B$13,기준값!$B$14,기준값!$B$16),IF($A48&gt;=기준값!$B$13,기준값!$B$16,기준값!$B$15)))))/기준값!$B$19</f>
        <v>35530.442307692305</v>
      </c>
      <c r="F48" s="6">
        <f>$A48*기준값!$B$7-기준값!$B$8-(거리구간표!$D$9*(IF(기준값!$B$19&lt;기준값!$B$11,기준값!$B$16,IF(기준값!$B$19&gt;=기준값!$B$12,IF($A48&gt;=기준값!$B$13,기준값!$B$14,기준값!$B$16),IF($A48&gt;=기준값!$B$13,기준값!$B$16,기준값!$B$15)))))/기준값!$B$19</f>
        <v>34761.211538461539</v>
      </c>
      <c r="G48" s="6">
        <f>$A48*기준값!$B$7-기준값!$B$8-(거리구간표!$D$10*(IF(기준값!$B$19&lt;기준값!$B$11,기준값!$B$16,IF(기준값!$B$19&gt;=기준값!$B$12,IF($A48&gt;=기준값!$B$13,기준값!$B$14,기준값!$B$16),IF($A48&gt;=기준값!$B$13,기준값!$B$16,기준값!$B$15)))))/기준값!$B$19</f>
        <v>33991.980769230766</v>
      </c>
      <c r="H48" s="6">
        <f>$A48*기준값!$B$7-기준값!$B$8-(거리구간표!$D$11*(IF(기준값!$B$19&lt;기준값!$B$11,기준값!$B$16,IF(기준값!$B$19&gt;=기준값!$B$12,IF($A48&gt;=기준값!$B$13,기준값!$B$14,기준값!$B$16),IF($A48&gt;=기준값!$B$13,기준값!$B$16,기준값!$B$15)))))/기준값!$B$19</f>
        <v>33222.75</v>
      </c>
      <c r="I48" s="6">
        <f>$A48*기준값!$B$7-기준값!$B$8-(거리구간표!$D$12*(IF(기준값!$B$19&lt;기준값!$B$11,기준값!$B$16,IF(기준값!$B$19&gt;=기준값!$B$12,IF($A48&gt;=기준값!$B$13,기준값!$B$14,기준값!$B$16),IF($A48&gt;=기준값!$B$13,기준값!$B$16,기준값!$B$15)))))/기준값!$B$19</f>
        <v>32453.51923076923</v>
      </c>
      <c r="J48" s="6">
        <f>$A48*기준값!$B$7-기준값!$B$8-(거리구간표!$D$13*(IF(기준값!$B$19&lt;기준값!$B$11,기준값!$B$16,IF(기준값!$B$19&gt;=기준값!$B$12,IF($A48&gt;=기준값!$B$13,기준값!$B$14,기준값!$B$16),IF($A48&gt;=기준값!$B$13,기준값!$B$16,기준값!$B$15)))))/기준값!$B$19</f>
        <v>31684.288461538461</v>
      </c>
    </row>
    <row r="49" spans="1:10" ht="14.25" customHeight="1">
      <c r="A49" s="34">
        <v>123</v>
      </c>
      <c r="B49" s="6">
        <f>$A49*기준값!$B$7-기준값!$B$8-(거리구간표!$D$5*(IF(기준값!$B$19&lt;기준값!$B$11,기준값!$B$16,IF(기준값!$B$19&gt;=기준값!$B$12,IF($A49&gt;=기준값!$B$13,기준값!$B$14,기준값!$B$16),IF($A49&gt;=기준값!$B$13,기준값!$B$16,기준값!$B$15)))))/기준값!$B$19</f>
        <v>42486.240384615383</v>
      </c>
      <c r="C49" s="6">
        <f>$A49*기준값!$B$7-기준값!$B$8-(거리구간표!$D$6*(IF(기준값!$B$19&lt;기준값!$B$11,기준값!$B$16,IF(기준값!$B$19&gt;=기준값!$B$12,IF($A49&gt;=기준값!$B$13,기준값!$B$14,기준값!$B$16),IF($A49&gt;=기준값!$B$13,기준값!$B$16,기준값!$B$15)))))/기준값!$B$19</f>
        <v>41717.009615384617</v>
      </c>
      <c r="D49" s="6">
        <f>$A49*기준값!$B$7-기준값!$B$8-(거리구간표!$D$7*(IF(기준값!$B$19&lt;기준값!$B$11,기준값!$B$16,IF(기준값!$B$19&gt;=기준값!$B$12,IF($A49&gt;=기준값!$B$13,기준값!$B$14,기준값!$B$16),IF($A49&gt;=기준값!$B$13,기준값!$B$16,기준값!$B$15)))))/기준값!$B$19</f>
        <v>40947.778846153844</v>
      </c>
      <c r="E49" s="6">
        <f>$A49*기준값!$B$7-기준값!$B$8-(거리구간표!$D$8*(IF(기준값!$B$19&lt;기준값!$B$11,기준값!$B$16,IF(기준값!$B$19&gt;=기준값!$B$12,IF($A49&gt;=기준값!$B$13,기준값!$B$14,기준값!$B$16),IF($A49&gt;=기준값!$B$13,기준값!$B$16,기준값!$B$15)))))/기준값!$B$19</f>
        <v>39409.317307692305</v>
      </c>
      <c r="F49" s="6">
        <f>$A49*기준값!$B$7-기준값!$B$8-(거리구간표!$D$9*(IF(기준값!$B$19&lt;기준값!$B$11,기준값!$B$16,IF(기준값!$B$19&gt;=기준값!$B$12,IF($A49&gt;=기준값!$B$13,기준값!$B$14,기준값!$B$16),IF($A49&gt;=기준값!$B$13,기준값!$B$16,기준값!$B$15)))))/기준값!$B$19</f>
        <v>38640.086538461539</v>
      </c>
      <c r="G49" s="6">
        <f>$A49*기준값!$B$7-기준값!$B$8-(거리구간표!$D$10*(IF(기준값!$B$19&lt;기준값!$B$11,기준값!$B$16,IF(기준값!$B$19&gt;=기준값!$B$12,IF($A49&gt;=기준값!$B$13,기준값!$B$14,기준값!$B$16),IF($A49&gt;=기준값!$B$13,기준값!$B$16,기준값!$B$15)))))/기준값!$B$19</f>
        <v>37870.855769230766</v>
      </c>
      <c r="H49" s="6">
        <f>$A49*기준값!$B$7-기준값!$B$8-(거리구간표!$D$11*(IF(기준값!$B$19&lt;기준값!$B$11,기준값!$B$16,IF(기준값!$B$19&gt;=기준값!$B$12,IF($A49&gt;=기준값!$B$13,기준값!$B$14,기준값!$B$16),IF($A49&gt;=기준값!$B$13,기준값!$B$16,기준값!$B$15)))))/기준값!$B$19</f>
        <v>37101.625</v>
      </c>
      <c r="I49" s="6">
        <f>$A49*기준값!$B$7-기준값!$B$8-(거리구간표!$D$12*(IF(기준값!$B$19&lt;기준값!$B$11,기준값!$B$16,IF(기준값!$B$19&gt;=기준값!$B$12,IF($A49&gt;=기준값!$B$13,기준값!$B$14,기준값!$B$16),IF($A49&gt;=기준값!$B$13,기준값!$B$16,기준값!$B$15)))))/기준값!$B$19</f>
        <v>36332.394230769234</v>
      </c>
      <c r="J49" s="6">
        <f>$A49*기준값!$B$7-기준값!$B$8-(거리구간표!$D$13*(IF(기준값!$B$19&lt;기준값!$B$11,기준값!$B$16,IF(기준값!$B$19&gt;=기준값!$B$12,IF($A49&gt;=기준값!$B$13,기준값!$B$14,기준값!$B$16),IF($A49&gt;=기준값!$B$13,기준값!$B$16,기준값!$B$15)))))/기준값!$B$19</f>
        <v>35563.163461538461</v>
      </c>
    </row>
    <row r="50" spans="1:10" ht="14.25" customHeight="1">
      <c r="A50" s="34">
        <v>124</v>
      </c>
      <c r="B50" s="6">
        <f>$A50*기준값!$B$7-기준값!$B$8-(거리구간표!$D$5*(IF(기준값!$B$19&lt;기준값!$B$11,기준값!$B$16,IF(기준값!$B$19&gt;=기준값!$B$12,IF($A50&gt;=기준값!$B$13,기준값!$B$14,기준값!$B$16),IF($A50&gt;=기준값!$B$13,기준값!$B$16,기준값!$B$15)))))/기준값!$B$19</f>
        <v>46365.115384615383</v>
      </c>
      <c r="C50" s="6">
        <f>$A50*기준값!$B$7-기준값!$B$8-(거리구간표!$D$6*(IF(기준값!$B$19&lt;기준값!$B$11,기준값!$B$16,IF(기준값!$B$19&gt;=기준값!$B$12,IF($A50&gt;=기준값!$B$13,기준값!$B$14,기준값!$B$16),IF($A50&gt;=기준값!$B$13,기준값!$B$16,기준값!$B$15)))))/기준값!$B$19</f>
        <v>45595.884615384617</v>
      </c>
      <c r="D50" s="6">
        <f>$A50*기준값!$B$7-기준값!$B$8-(거리구간표!$D$7*(IF(기준값!$B$19&lt;기준값!$B$11,기준값!$B$16,IF(기준값!$B$19&gt;=기준값!$B$12,IF($A50&gt;=기준값!$B$13,기준값!$B$14,기준값!$B$16),IF($A50&gt;=기준값!$B$13,기준값!$B$16,기준값!$B$15)))))/기준값!$B$19</f>
        <v>44826.653846153844</v>
      </c>
      <c r="E50" s="6">
        <f>$A50*기준값!$B$7-기준값!$B$8-(거리구간표!$D$8*(IF(기준값!$B$19&lt;기준값!$B$11,기준값!$B$16,IF(기준값!$B$19&gt;=기준값!$B$12,IF($A50&gt;=기준값!$B$13,기준값!$B$14,기준값!$B$16),IF($A50&gt;=기준값!$B$13,기준값!$B$16,기준값!$B$15)))))/기준값!$B$19</f>
        <v>43288.192307692305</v>
      </c>
      <c r="F50" s="6">
        <f>$A50*기준값!$B$7-기준값!$B$8-(거리구간표!$D$9*(IF(기준값!$B$19&lt;기준값!$B$11,기준값!$B$16,IF(기준값!$B$19&gt;=기준값!$B$12,IF($A50&gt;=기준값!$B$13,기준값!$B$14,기준값!$B$16),IF($A50&gt;=기준값!$B$13,기준값!$B$16,기준값!$B$15)))))/기준값!$B$19</f>
        <v>42518.961538461539</v>
      </c>
      <c r="G50" s="6">
        <f>$A50*기준값!$B$7-기준값!$B$8-(거리구간표!$D$10*(IF(기준값!$B$19&lt;기준값!$B$11,기준값!$B$16,IF(기준값!$B$19&gt;=기준값!$B$12,IF($A50&gt;=기준값!$B$13,기준값!$B$14,기준값!$B$16),IF($A50&gt;=기준값!$B$13,기준값!$B$16,기준값!$B$15)))))/기준값!$B$19</f>
        <v>41749.730769230766</v>
      </c>
      <c r="H50" s="6">
        <f>$A50*기준값!$B$7-기준값!$B$8-(거리구간표!$D$11*(IF(기준값!$B$19&lt;기준값!$B$11,기준값!$B$16,IF(기준값!$B$19&gt;=기준값!$B$12,IF($A50&gt;=기준값!$B$13,기준값!$B$14,기준값!$B$16),IF($A50&gt;=기준값!$B$13,기준값!$B$16,기준값!$B$15)))))/기준값!$B$19</f>
        <v>40980.5</v>
      </c>
      <c r="I50" s="6">
        <f>$A50*기준값!$B$7-기준값!$B$8-(거리구간표!$D$12*(IF(기준값!$B$19&lt;기준값!$B$11,기준값!$B$16,IF(기준값!$B$19&gt;=기준값!$B$12,IF($A50&gt;=기준값!$B$13,기준값!$B$14,기준값!$B$16),IF($A50&gt;=기준값!$B$13,기준값!$B$16,기준값!$B$15)))))/기준값!$B$19</f>
        <v>40211.269230769234</v>
      </c>
      <c r="J50" s="6">
        <f>$A50*기준값!$B$7-기준값!$B$8-(거리구간표!$D$13*(IF(기준값!$B$19&lt;기준값!$B$11,기준값!$B$16,IF(기준값!$B$19&gt;=기준값!$B$12,IF($A50&gt;=기준값!$B$13,기준값!$B$14,기준값!$B$16),IF($A50&gt;=기준값!$B$13,기준값!$B$16,기준값!$B$15)))))/기준값!$B$19</f>
        <v>39442.038461538461</v>
      </c>
    </row>
    <row r="51" spans="1:10" ht="14.25" customHeight="1">
      <c r="A51" s="34">
        <v>125</v>
      </c>
      <c r="B51" s="6">
        <f>$A51*기준값!$B$7-기준값!$B$8-(거리구간표!$D$5*(IF(기준값!$B$19&lt;기준값!$B$11,기준값!$B$16,IF(기준값!$B$19&gt;=기준값!$B$12,IF($A51&gt;=기준값!$B$13,기준값!$B$14,기준값!$B$16),IF($A51&gt;=기준값!$B$13,기준값!$B$16,기준값!$B$15)))))/기준값!$B$19</f>
        <v>50243.990384615383</v>
      </c>
      <c r="C51" s="6">
        <f>$A51*기준값!$B$7-기준값!$B$8-(거리구간표!$D$6*(IF(기준값!$B$19&lt;기준값!$B$11,기준값!$B$16,IF(기준값!$B$19&gt;=기준값!$B$12,IF($A51&gt;=기준값!$B$13,기준값!$B$14,기준값!$B$16),IF($A51&gt;=기준값!$B$13,기준값!$B$16,기준값!$B$15)))))/기준값!$B$19</f>
        <v>49474.759615384617</v>
      </c>
      <c r="D51" s="6">
        <f>$A51*기준값!$B$7-기준값!$B$8-(거리구간표!$D$7*(IF(기준값!$B$19&lt;기준값!$B$11,기준값!$B$16,IF(기준값!$B$19&gt;=기준값!$B$12,IF($A51&gt;=기준값!$B$13,기준값!$B$14,기준값!$B$16),IF($A51&gt;=기준값!$B$13,기준값!$B$16,기준값!$B$15)))))/기준값!$B$19</f>
        <v>48705.528846153844</v>
      </c>
      <c r="E51" s="6">
        <f>$A51*기준값!$B$7-기준값!$B$8-(거리구간표!$D$8*(IF(기준값!$B$19&lt;기준값!$B$11,기준값!$B$16,IF(기준값!$B$19&gt;=기준값!$B$12,IF($A51&gt;=기준값!$B$13,기준값!$B$14,기준값!$B$16),IF($A51&gt;=기준값!$B$13,기준값!$B$16,기준값!$B$15)))))/기준값!$B$19</f>
        <v>47167.067307692305</v>
      </c>
      <c r="F51" s="6">
        <f>$A51*기준값!$B$7-기준값!$B$8-(거리구간표!$D$9*(IF(기준값!$B$19&lt;기준값!$B$11,기준값!$B$16,IF(기준값!$B$19&gt;=기준값!$B$12,IF($A51&gt;=기준값!$B$13,기준값!$B$14,기준값!$B$16),IF($A51&gt;=기준값!$B$13,기준값!$B$16,기준값!$B$15)))))/기준값!$B$19</f>
        <v>46397.836538461539</v>
      </c>
      <c r="G51" s="6">
        <f>$A51*기준값!$B$7-기준값!$B$8-(거리구간표!$D$10*(IF(기준값!$B$19&lt;기준값!$B$11,기준값!$B$16,IF(기준값!$B$19&gt;=기준값!$B$12,IF($A51&gt;=기준값!$B$13,기준값!$B$14,기준값!$B$16),IF($A51&gt;=기준값!$B$13,기준값!$B$16,기준값!$B$15)))))/기준값!$B$19</f>
        <v>45628.605769230766</v>
      </c>
      <c r="H51" s="6">
        <f>$A51*기준값!$B$7-기준값!$B$8-(거리구간표!$D$11*(IF(기준값!$B$19&lt;기준값!$B$11,기준값!$B$16,IF(기준값!$B$19&gt;=기준값!$B$12,IF($A51&gt;=기준값!$B$13,기준값!$B$14,기준값!$B$16),IF($A51&gt;=기준값!$B$13,기준값!$B$16,기준값!$B$15)))))/기준값!$B$19</f>
        <v>44859.375</v>
      </c>
      <c r="I51" s="6">
        <f>$A51*기준값!$B$7-기준값!$B$8-(거리구간표!$D$12*(IF(기준값!$B$19&lt;기준값!$B$11,기준값!$B$16,IF(기준값!$B$19&gt;=기준값!$B$12,IF($A51&gt;=기준값!$B$13,기준값!$B$14,기준값!$B$16),IF($A51&gt;=기준값!$B$13,기준값!$B$16,기준값!$B$15)))))/기준값!$B$19</f>
        <v>44090.144230769234</v>
      </c>
      <c r="J51" s="6">
        <f>$A51*기준값!$B$7-기준값!$B$8-(거리구간표!$D$13*(IF(기준값!$B$19&lt;기준값!$B$11,기준값!$B$16,IF(기준값!$B$19&gt;=기준값!$B$12,IF($A51&gt;=기준값!$B$13,기준값!$B$14,기준값!$B$16),IF($A51&gt;=기준값!$B$13,기준값!$B$16,기준값!$B$15)))))/기준값!$B$19</f>
        <v>43320.913461538461</v>
      </c>
    </row>
    <row r="53" spans="1:10" ht="12.75" customHeight="1">
      <c r="A53" s="44" t="s">
        <v>78</v>
      </c>
      <c r="B53" s="44"/>
      <c r="C53" s="44"/>
      <c r="D53" s="44"/>
      <c r="E53" s="44"/>
      <c r="F53" s="44"/>
      <c r="G53" s="44"/>
      <c r="H53" s="44"/>
      <c r="I53" s="44"/>
      <c r="J53" s="44"/>
    </row>
    <row r="55" spans="1:10">
      <c r="A55" s="40" t="str">
        <f>"상차두수별 순수익 매트릭스 ① · 거리구간별 (평균체중 "&amp;기준값!$B$13&amp;"kg 고정)"</f>
        <v>상차두수별 순수익 매트릭스 ① · 거리구간별 (평균체중 113kg 고정)</v>
      </c>
      <c r="B55" s="40"/>
      <c r="C55" s="40"/>
      <c r="D55" s="40"/>
      <c r="E55" s="40"/>
      <c r="F55" s="40"/>
      <c r="G55" s="40"/>
      <c r="H55" s="40"/>
      <c r="I55" s="40"/>
      <c r="J55" s="40"/>
    </row>
    <row r="56" spans="1:10" ht="25.35" customHeight="1">
      <c r="A56" s="43" t="s">
        <v>79</v>
      </c>
      <c r="B56" s="43"/>
      <c r="C56" s="43"/>
      <c r="D56" s="43"/>
      <c r="E56" s="43"/>
      <c r="F56" s="43"/>
      <c r="G56" s="43"/>
      <c r="H56" s="43"/>
      <c r="I56" s="43"/>
      <c r="J56" s="43"/>
    </row>
    <row r="57" spans="1:10" ht="27">
      <c r="A57" s="4" t="s">
        <v>80</v>
      </c>
      <c r="B57" s="4" t="str">
        <f>거리구간표!$A$5</f>
        <v>~40km</v>
      </c>
      <c r="C57" s="4" t="str">
        <f>거리구간표!$A$6</f>
        <v>41~80km</v>
      </c>
      <c r="D57" s="4" t="str">
        <f>거리구간표!$A$7</f>
        <v>81~120km</v>
      </c>
      <c r="E57" s="4" t="str">
        <f>거리구간표!$A$8</f>
        <v>121~150km</v>
      </c>
      <c r="F57" s="4" t="str">
        <f>거리구간표!$A$9</f>
        <v>151~180km</v>
      </c>
      <c r="G57" s="4" t="str">
        <f>거리구간표!$A$10</f>
        <v>181~220km</v>
      </c>
      <c r="H57" s="4" t="str">
        <f>거리구간표!$A$11</f>
        <v>221~260km</v>
      </c>
      <c r="I57" s="4" t="str">
        <f>거리구간표!$A$12</f>
        <v>261~300km</v>
      </c>
      <c r="J57" s="4" t="str">
        <f>거리구간표!$A$13</f>
        <v>301~340km</v>
      </c>
    </row>
    <row r="58" spans="1:10">
      <c r="A58" s="36">
        <v>10</v>
      </c>
      <c r="B58" s="6" t="str">
        <f>IF($A58&lt;기준값!$B$11,"-",기준값!$B$13*기준값!$B$7-기준값!$B$8-(거리구간표!$D$5*IF($A58&gt;=기준값!$B$12,기준값!$B$14,기준값!$B$16))/$A58)</f>
        <v>-</v>
      </c>
      <c r="C58" s="6" t="str">
        <f>IF($A58&lt;기준값!$B$11,"-",기준값!$B$13*기준값!$B$7-기준값!$B$8-(거리구간표!$D$6*IF($A58&gt;=기준값!$B$12,기준값!$B$14,기준값!$B$16))/$A58)</f>
        <v>-</v>
      </c>
      <c r="D58" s="6" t="str">
        <f>IF($A58&lt;기준값!$B$11,"-",기준값!$B$13*기준값!$B$7-기준값!$B$8-(거리구간표!$D$7*IF($A58&gt;=기준값!$B$12,기준값!$B$14,기준값!$B$16))/$A58)</f>
        <v>-</v>
      </c>
      <c r="E58" s="6" t="str">
        <f>IF($A58&lt;기준값!$B$11,"-",기준값!$B$13*기준값!$B$7-기준값!$B$8-(거리구간표!$D$8*IF($A58&gt;=기준값!$B$12,기준값!$B$14,기준값!$B$16))/$A58)</f>
        <v>-</v>
      </c>
      <c r="F58" s="6" t="str">
        <f>IF($A58&lt;기준값!$B$11,"-",기준값!$B$13*기준값!$B$7-기준값!$B$8-(거리구간표!$D$9*IF($A58&gt;=기준값!$B$12,기준값!$B$14,기준값!$B$16))/$A58)</f>
        <v>-</v>
      </c>
      <c r="G58" s="6" t="str">
        <f>IF($A58&lt;기준값!$B$11,"-",기준값!$B$13*기준값!$B$7-기준값!$B$8-(거리구간표!$D$10*IF($A58&gt;=기준값!$B$12,기준값!$B$14,기준값!$B$16))/$A58)</f>
        <v>-</v>
      </c>
      <c r="H58" s="6" t="str">
        <f>IF($A58&lt;기준값!$B$11,"-",기준값!$B$13*기준값!$B$7-기준값!$B$8-(거리구간표!$D$11*IF($A58&gt;=기준값!$B$12,기준값!$B$14,기준값!$B$16))/$A58)</f>
        <v>-</v>
      </c>
      <c r="I58" s="6" t="str">
        <f>IF($A58&lt;기준값!$B$11,"-",기준값!$B$13*기준값!$B$7-기준값!$B$8-(거리구간표!$D$12*IF($A58&gt;=기준값!$B$12,기준값!$B$14,기준값!$B$16))/$A58)</f>
        <v>-</v>
      </c>
      <c r="J58" s="6" t="str">
        <f>IF($A58&lt;기준값!$B$11,"-",기준값!$B$13*기준값!$B$7-기준값!$B$8-(거리구간표!$D$13*IF($A58&gt;=기준값!$B$12,기준값!$B$14,기준값!$B$16))/$A58)</f>
        <v>-</v>
      </c>
    </row>
    <row r="59" spans="1:10">
      <c r="A59" s="36">
        <v>20</v>
      </c>
      <c r="B59" s="6" t="str">
        <f>IF($A59&lt;기준값!$B$11,"-",기준값!$B$13*기준값!$B$7-기준값!$B$8-(거리구간표!$D$5*IF($A59&gt;=기준값!$B$12,기준값!$B$14,기준값!$B$16))/$A59)</f>
        <v>-</v>
      </c>
      <c r="C59" s="6" t="str">
        <f>IF($A59&lt;기준값!$B$11,"-",기준값!$B$13*기준값!$B$7-기준값!$B$8-(거리구간표!$D$6*IF($A59&gt;=기준값!$B$12,기준값!$B$14,기준값!$B$16))/$A59)</f>
        <v>-</v>
      </c>
      <c r="D59" s="6" t="str">
        <f>IF($A59&lt;기준값!$B$11,"-",기준값!$B$13*기준값!$B$7-기준값!$B$8-(거리구간표!$D$7*IF($A59&gt;=기준값!$B$12,기준값!$B$14,기준값!$B$16))/$A59)</f>
        <v>-</v>
      </c>
      <c r="E59" s="6" t="str">
        <f>IF($A59&lt;기준값!$B$11,"-",기준값!$B$13*기준값!$B$7-기준값!$B$8-(거리구간표!$D$8*IF($A59&gt;=기준값!$B$12,기준값!$B$14,기준값!$B$16))/$A59)</f>
        <v>-</v>
      </c>
      <c r="F59" s="6" t="str">
        <f>IF($A59&lt;기준값!$B$11,"-",기준값!$B$13*기준값!$B$7-기준값!$B$8-(거리구간표!$D$9*IF($A59&gt;=기준값!$B$12,기준값!$B$14,기준값!$B$16))/$A59)</f>
        <v>-</v>
      </c>
      <c r="G59" s="6" t="str">
        <f>IF($A59&lt;기준값!$B$11,"-",기준값!$B$13*기준값!$B$7-기준값!$B$8-(거리구간표!$D$10*IF($A59&gt;=기준값!$B$12,기준값!$B$14,기준값!$B$16))/$A59)</f>
        <v>-</v>
      </c>
      <c r="H59" s="6" t="str">
        <f>IF($A59&lt;기준값!$B$11,"-",기준값!$B$13*기준값!$B$7-기준값!$B$8-(거리구간표!$D$11*IF($A59&gt;=기준값!$B$12,기준값!$B$14,기준값!$B$16))/$A59)</f>
        <v>-</v>
      </c>
      <c r="I59" s="6" t="str">
        <f>IF($A59&lt;기준값!$B$11,"-",기준값!$B$13*기준값!$B$7-기준값!$B$8-(거리구간표!$D$12*IF($A59&gt;=기준값!$B$12,기준값!$B$14,기준값!$B$16))/$A59)</f>
        <v>-</v>
      </c>
      <c r="J59" s="6" t="str">
        <f>IF($A59&lt;기준값!$B$11,"-",기준값!$B$13*기준값!$B$7-기준값!$B$8-(거리구간표!$D$13*IF($A59&gt;=기준값!$B$12,기준값!$B$14,기준값!$B$16))/$A59)</f>
        <v>-</v>
      </c>
    </row>
    <row r="60" spans="1:10">
      <c r="A60" s="36">
        <v>29</v>
      </c>
      <c r="B60" s="6" t="str">
        <f>IF($A60&lt;기준값!$B$11,"-",기준값!$B$13*기준값!$B$7-기준값!$B$8-(거리구간표!$D$5*IF($A60&gt;=기준값!$B$12,기준값!$B$14,기준값!$B$16))/$A60)</f>
        <v>-</v>
      </c>
      <c r="C60" s="6" t="str">
        <f>IF($A60&lt;기준값!$B$11,"-",기준값!$B$13*기준값!$B$7-기준값!$B$8-(거리구간표!$D$6*IF($A60&gt;=기준값!$B$12,기준값!$B$14,기준값!$B$16))/$A60)</f>
        <v>-</v>
      </c>
      <c r="D60" s="6" t="str">
        <f>IF($A60&lt;기준값!$B$11,"-",기준값!$B$13*기준값!$B$7-기준값!$B$8-(거리구간표!$D$7*IF($A60&gt;=기준값!$B$12,기준값!$B$14,기준값!$B$16))/$A60)</f>
        <v>-</v>
      </c>
      <c r="E60" s="6" t="str">
        <f>IF($A60&lt;기준값!$B$11,"-",기준값!$B$13*기준값!$B$7-기준값!$B$8-(거리구간표!$D$8*IF($A60&gt;=기준값!$B$12,기준값!$B$14,기준값!$B$16))/$A60)</f>
        <v>-</v>
      </c>
      <c r="F60" s="6" t="str">
        <f>IF($A60&lt;기준값!$B$11,"-",기준값!$B$13*기준값!$B$7-기준값!$B$8-(거리구간표!$D$9*IF($A60&gt;=기준값!$B$12,기준값!$B$14,기준값!$B$16))/$A60)</f>
        <v>-</v>
      </c>
      <c r="G60" s="6" t="str">
        <f>IF($A60&lt;기준값!$B$11,"-",기준값!$B$13*기준값!$B$7-기준값!$B$8-(거리구간표!$D$10*IF($A60&gt;=기준값!$B$12,기준값!$B$14,기준값!$B$16))/$A60)</f>
        <v>-</v>
      </c>
      <c r="H60" s="6" t="str">
        <f>IF($A60&lt;기준값!$B$11,"-",기준값!$B$13*기준값!$B$7-기준값!$B$8-(거리구간표!$D$11*IF($A60&gt;=기준값!$B$12,기준값!$B$14,기준값!$B$16))/$A60)</f>
        <v>-</v>
      </c>
      <c r="I60" s="6" t="str">
        <f>IF($A60&lt;기준값!$B$11,"-",기준값!$B$13*기준값!$B$7-기준값!$B$8-(거리구간표!$D$12*IF($A60&gt;=기준값!$B$12,기준값!$B$14,기준값!$B$16))/$A60)</f>
        <v>-</v>
      </c>
      <c r="J60" s="6" t="str">
        <f>IF($A60&lt;기준값!$B$11,"-",기준값!$B$13*기준값!$B$7-기준값!$B$8-(거리구간표!$D$13*IF($A60&gt;=기준값!$B$12,기준값!$B$14,기준값!$B$16))/$A60)</f>
        <v>-</v>
      </c>
    </row>
    <row r="61" spans="1:10">
      <c r="A61" s="37">
        <v>30</v>
      </c>
      <c r="B61" s="14">
        <f>IF($A61&lt;기준값!$B$11,"-",기준값!$B$13*기준값!$B$7-기준값!$B$8-(거리구간표!$D$5*IF($A61&gt;=기준값!$B$12,기준값!$B$14,기준값!$B$16))/$A61)</f>
        <v>-1687.125</v>
      </c>
      <c r="C61" s="14">
        <f>IF($A61&lt;기준값!$B$11,"-",기준값!$B$13*기준값!$B$7-기준값!$B$8-(거리구간표!$D$6*IF($A61&gt;=기준값!$B$12,기준값!$B$14,기준값!$B$16))/$A61)</f>
        <v>-3353.7916666666661</v>
      </c>
      <c r="D61" s="14">
        <f>IF($A61&lt;기준값!$B$11,"-",기준값!$B$13*기준값!$B$7-기준값!$B$8-(거리구간표!$D$7*IF($A61&gt;=기준값!$B$12,기준값!$B$14,기준값!$B$16))/$A61)</f>
        <v>-5020.4583333333339</v>
      </c>
      <c r="E61" s="14">
        <f>IF($A61&lt;기준값!$B$11,"-",기준값!$B$13*기준값!$B$7-기준값!$B$8-(거리구간표!$D$8*IF($A61&gt;=기준값!$B$12,기준값!$B$14,기준값!$B$16))/$A61)</f>
        <v>-8353.7916666666679</v>
      </c>
      <c r="F61" s="14">
        <f>IF($A61&lt;기준값!$B$11,"-",기준값!$B$13*기준값!$B$7-기준값!$B$8-(거리구간표!$D$9*IF($A61&gt;=기준값!$B$12,기준값!$B$14,기준값!$B$16))/$A61)</f>
        <v>-10020.458333333332</v>
      </c>
      <c r="G61" s="14">
        <f>IF($A61&lt;기준값!$B$11,"-",기준값!$B$13*기준값!$B$7-기준값!$B$8-(거리구간표!$D$10*IF($A61&gt;=기준값!$B$12,기준값!$B$14,기준값!$B$16))/$A61)</f>
        <v>-11687.125</v>
      </c>
      <c r="H61" s="14">
        <f>IF($A61&lt;기준값!$B$11,"-",기준값!$B$13*기준값!$B$7-기준값!$B$8-(거리구간표!$D$11*IF($A61&gt;=기준값!$B$12,기준값!$B$14,기준값!$B$16))/$A61)</f>
        <v>-13353.791666666668</v>
      </c>
      <c r="I61" s="14">
        <f>IF($A61&lt;기준값!$B$11,"-",기준값!$B$13*기준값!$B$7-기준값!$B$8-(거리구간표!$D$12*IF($A61&gt;=기준값!$B$12,기준값!$B$14,기준값!$B$16))/$A61)</f>
        <v>-15020.458333333332</v>
      </c>
      <c r="J61" s="14">
        <f>IF($A61&lt;기준값!$B$11,"-",기준값!$B$13*기준값!$B$7-기준값!$B$8-(거리구간표!$D$13*IF($A61&gt;=기준값!$B$12,기준값!$B$14,기준값!$B$16))/$A61)</f>
        <v>-16687.125</v>
      </c>
    </row>
    <row r="62" spans="1:10">
      <c r="A62" s="36">
        <v>40</v>
      </c>
      <c r="B62" s="6">
        <f>IF($A62&lt;기준값!$B$11,"-",기준값!$B$13*기준값!$B$7-기준값!$B$8-(거리구간표!$D$5*IF($A62&gt;=기준값!$B$12,기준값!$B$14,기준값!$B$16))/$A62)</f>
        <v>812.875</v>
      </c>
      <c r="C62" s="6">
        <f>IF($A62&lt;기준값!$B$11,"-",기준값!$B$13*기준값!$B$7-기준값!$B$8-(거리구간표!$D$6*IF($A62&gt;=기준값!$B$12,기준값!$B$14,기준값!$B$16))/$A62)</f>
        <v>-437.125</v>
      </c>
      <c r="D62" s="6">
        <f>IF($A62&lt;기준값!$B$11,"-",기준값!$B$13*기준값!$B$7-기준값!$B$8-(거리구간표!$D$7*IF($A62&gt;=기준값!$B$12,기준값!$B$14,기준값!$B$16))/$A62)</f>
        <v>-1687.125</v>
      </c>
      <c r="E62" s="6">
        <f>IF($A62&lt;기준값!$B$11,"-",기준값!$B$13*기준값!$B$7-기준값!$B$8-(거리구간표!$D$8*IF($A62&gt;=기준값!$B$12,기준값!$B$14,기준값!$B$16))/$A62)</f>
        <v>-4187.125</v>
      </c>
      <c r="F62" s="6">
        <f>IF($A62&lt;기준값!$B$11,"-",기준값!$B$13*기준값!$B$7-기준값!$B$8-(거리구간표!$D$9*IF($A62&gt;=기준값!$B$12,기준값!$B$14,기준값!$B$16))/$A62)</f>
        <v>-5437.125</v>
      </c>
      <c r="G62" s="6">
        <f>IF($A62&lt;기준값!$B$11,"-",기준값!$B$13*기준값!$B$7-기준값!$B$8-(거리구간표!$D$10*IF($A62&gt;=기준값!$B$12,기준값!$B$14,기준값!$B$16))/$A62)</f>
        <v>-6687.125</v>
      </c>
      <c r="H62" s="6">
        <f>IF($A62&lt;기준값!$B$11,"-",기준값!$B$13*기준값!$B$7-기준값!$B$8-(거리구간표!$D$11*IF($A62&gt;=기준값!$B$12,기준값!$B$14,기준값!$B$16))/$A62)</f>
        <v>-7937.125</v>
      </c>
      <c r="I62" s="6">
        <f>IF($A62&lt;기준값!$B$11,"-",기준값!$B$13*기준값!$B$7-기준값!$B$8-(거리구간표!$D$12*IF($A62&gt;=기준값!$B$12,기준값!$B$14,기준값!$B$16))/$A62)</f>
        <v>-9187.125</v>
      </c>
      <c r="J62" s="6">
        <f>IF($A62&lt;기준값!$B$11,"-",기준값!$B$13*기준값!$B$7-기준값!$B$8-(거리구간표!$D$13*IF($A62&gt;=기준값!$B$12,기준값!$B$14,기준값!$B$16))/$A62)</f>
        <v>-10437.125</v>
      </c>
    </row>
    <row r="63" spans="1:10">
      <c r="A63" s="36">
        <v>50</v>
      </c>
      <c r="B63" s="6">
        <f>IF($A63&lt;기준값!$B$11,"-",기준값!$B$13*기준값!$B$7-기준값!$B$8-(거리구간표!$D$5*IF($A63&gt;=기준값!$B$12,기준값!$B$14,기준값!$B$16))/$A63)</f>
        <v>2312.875</v>
      </c>
      <c r="C63" s="6">
        <f>IF($A63&lt;기준값!$B$11,"-",기준값!$B$13*기준값!$B$7-기준값!$B$8-(거리구간표!$D$6*IF($A63&gt;=기준값!$B$12,기준값!$B$14,기준값!$B$16))/$A63)</f>
        <v>1312.875</v>
      </c>
      <c r="D63" s="6">
        <f>IF($A63&lt;기준값!$B$11,"-",기준값!$B$13*기준값!$B$7-기준값!$B$8-(거리구간표!$D$7*IF($A63&gt;=기준값!$B$12,기준값!$B$14,기준값!$B$16))/$A63)</f>
        <v>312.875</v>
      </c>
      <c r="E63" s="6">
        <f>IF($A63&lt;기준값!$B$11,"-",기준값!$B$13*기준값!$B$7-기준값!$B$8-(거리구간표!$D$8*IF($A63&gt;=기준값!$B$12,기준값!$B$14,기준값!$B$16))/$A63)</f>
        <v>-1687.125</v>
      </c>
      <c r="F63" s="6">
        <f>IF($A63&lt;기준값!$B$11,"-",기준값!$B$13*기준값!$B$7-기준값!$B$8-(거리구간표!$D$9*IF($A63&gt;=기준값!$B$12,기준값!$B$14,기준값!$B$16))/$A63)</f>
        <v>-2687.125</v>
      </c>
      <c r="G63" s="6">
        <f>IF($A63&lt;기준값!$B$11,"-",기준값!$B$13*기준값!$B$7-기준값!$B$8-(거리구간표!$D$10*IF($A63&gt;=기준값!$B$12,기준값!$B$14,기준값!$B$16))/$A63)</f>
        <v>-3687.125</v>
      </c>
      <c r="H63" s="6">
        <f>IF($A63&lt;기준값!$B$11,"-",기준값!$B$13*기준값!$B$7-기준값!$B$8-(거리구간표!$D$11*IF($A63&gt;=기준값!$B$12,기준값!$B$14,기준값!$B$16))/$A63)</f>
        <v>-4687.125</v>
      </c>
      <c r="I63" s="6">
        <f>IF($A63&lt;기준값!$B$11,"-",기준값!$B$13*기준값!$B$7-기준값!$B$8-(거리구간표!$D$12*IF($A63&gt;=기준값!$B$12,기준값!$B$14,기준값!$B$16))/$A63)</f>
        <v>-5687.125</v>
      </c>
      <c r="J63" s="6">
        <f>IF($A63&lt;기준값!$B$11,"-",기준값!$B$13*기준값!$B$7-기준값!$B$8-(거리구간표!$D$13*IF($A63&gt;=기준값!$B$12,기준값!$B$14,기준값!$B$16))/$A63)</f>
        <v>-6687.125</v>
      </c>
    </row>
    <row r="64" spans="1:10">
      <c r="A64" s="36">
        <v>59</v>
      </c>
      <c r="B64" s="6">
        <f>IF($A64&lt;기준값!$B$11,"-",기준값!$B$13*기준값!$B$7-기준값!$B$8-(거리구간표!$D$5*IF($A64&gt;=기준값!$B$12,기준값!$B$14,기준값!$B$16))/$A64)</f>
        <v>3228.1292372881353</v>
      </c>
      <c r="C64" s="6">
        <f>IF($A64&lt;기준값!$B$11,"-",기준값!$B$13*기준값!$B$7-기준값!$B$8-(거리구간표!$D$6*IF($A64&gt;=기준값!$B$12,기준값!$B$14,기준값!$B$16))/$A64)</f>
        <v>2380.6716101694919</v>
      </c>
      <c r="D64" s="6">
        <f>IF($A64&lt;기준값!$B$11,"-",기준값!$B$13*기준값!$B$7-기준값!$B$8-(거리구간표!$D$7*IF($A64&gt;=기준값!$B$12,기준값!$B$14,기준값!$B$16))/$A64)</f>
        <v>1533.2139830508477</v>
      </c>
      <c r="E64" s="6">
        <f>IF($A64&lt;기준값!$B$11,"-",기준값!$B$13*기준값!$B$7-기준값!$B$8-(거리구간표!$D$8*IF($A64&gt;=기준값!$B$12,기준값!$B$14,기준값!$B$16))/$A64)</f>
        <v>-161.70127118644086</v>
      </c>
      <c r="F64" s="6">
        <f>IF($A64&lt;기준값!$B$11,"-",기준값!$B$13*기준값!$B$7-기준값!$B$8-(거리구간표!$D$9*IF($A64&gt;=기준값!$B$12,기준값!$B$14,기준값!$B$16))/$A64)</f>
        <v>-1009.1588983050842</v>
      </c>
      <c r="G64" s="6">
        <f>IF($A64&lt;기준값!$B$11,"-",기준값!$B$13*기준값!$B$7-기준값!$B$8-(거리구간표!$D$10*IF($A64&gt;=기준값!$B$12,기준값!$B$14,기준값!$B$16))/$A64)</f>
        <v>-1856.6165254237294</v>
      </c>
      <c r="H64" s="6">
        <f>IF($A64&lt;기준값!$B$11,"-",기준값!$B$13*기준값!$B$7-기준값!$B$8-(거리구간표!$D$11*IF($A64&gt;=기준값!$B$12,기준값!$B$14,기준값!$B$16))/$A64)</f>
        <v>-2704.0741525423728</v>
      </c>
      <c r="I64" s="6">
        <f>IF($A64&lt;기준값!$B$11,"-",기준값!$B$13*기준값!$B$7-기준값!$B$8-(거리구간표!$D$12*IF($A64&gt;=기준값!$B$12,기준값!$B$14,기준값!$B$16))/$A64)</f>
        <v>-3551.5317796610161</v>
      </c>
      <c r="J64" s="6">
        <f>IF($A64&lt;기준값!$B$11,"-",기준값!$B$13*기준값!$B$7-기준값!$B$8-(거리구간표!$D$13*IF($A64&gt;=기준값!$B$12,기준값!$B$14,기준값!$B$16))/$A64)</f>
        <v>-4398.9894067796613</v>
      </c>
    </row>
    <row r="65" spans="1:22">
      <c r="A65" s="37">
        <v>60</v>
      </c>
      <c r="B65" s="14">
        <f>IF($A65&lt;기준값!$B$11,"-",기준값!$B$13*기준값!$B$7-기준값!$B$8-(거리구간표!$D$5*IF($A65&gt;=기준값!$B$12,기준값!$B$14,기준값!$B$16))/$A65)</f>
        <v>3312.875</v>
      </c>
      <c r="C65" s="14">
        <f>IF($A65&lt;기준값!$B$11,"-",기준값!$B$13*기준값!$B$7-기준값!$B$8-(거리구간표!$D$6*IF($A65&gt;=기준값!$B$12,기준값!$B$14,기준값!$B$16))/$A65)</f>
        <v>2479.541666666667</v>
      </c>
      <c r="D65" s="14">
        <f>IF($A65&lt;기준값!$B$11,"-",기준값!$B$13*기준값!$B$7-기준값!$B$8-(거리구간표!$D$7*IF($A65&gt;=기준값!$B$12,기준값!$B$14,기준값!$B$16))/$A65)</f>
        <v>1646.208333333333</v>
      </c>
      <c r="E65" s="14">
        <f>IF($A65&lt;기준값!$B$11,"-",기준값!$B$13*기준값!$B$7-기준값!$B$8-(거리구간표!$D$8*IF($A65&gt;=기준값!$B$12,기준값!$B$14,기준값!$B$16))/$A65)</f>
        <v>-20.45833333333394</v>
      </c>
      <c r="F65" s="14">
        <f>IF($A65&lt;기준값!$B$11,"-",기준값!$B$13*기준값!$B$7-기준값!$B$8-(거리구간표!$D$9*IF($A65&gt;=기준값!$B$12,기준값!$B$14,기준값!$B$16))/$A65)</f>
        <v>-853.79166666666606</v>
      </c>
      <c r="G65" s="14">
        <f>IF($A65&lt;기준값!$B$11,"-",기준값!$B$13*기준값!$B$7-기준값!$B$8-(거리구간표!$D$10*IF($A65&gt;=기준값!$B$12,기준값!$B$14,기준값!$B$16))/$A65)</f>
        <v>-1687.125</v>
      </c>
      <c r="H65" s="14">
        <f>IF($A65&lt;기준값!$B$11,"-",기준값!$B$13*기준값!$B$7-기준값!$B$8-(거리구간표!$D$11*IF($A65&gt;=기준값!$B$12,기준값!$B$14,기준값!$B$16))/$A65)</f>
        <v>-2520.4583333333339</v>
      </c>
      <c r="I65" s="14">
        <f>IF($A65&lt;기준값!$B$11,"-",기준값!$B$13*기준값!$B$7-기준값!$B$8-(거리구간표!$D$12*IF($A65&gt;=기준값!$B$12,기준값!$B$14,기준값!$B$16))/$A65)</f>
        <v>-3353.7916666666661</v>
      </c>
      <c r="J65" s="14">
        <f>IF($A65&lt;기준값!$B$11,"-",기준값!$B$13*기준값!$B$7-기준값!$B$8-(거리구간표!$D$13*IF($A65&gt;=기준값!$B$12,기준값!$B$14,기준값!$B$16))/$A65)</f>
        <v>-4187.125</v>
      </c>
    </row>
    <row r="66" spans="1:22">
      <c r="A66" s="36">
        <v>70</v>
      </c>
      <c r="B66" s="6">
        <f>IF($A66&lt;기준값!$B$11,"-",기준값!$B$13*기준값!$B$7-기준값!$B$8-(거리구간표!$D$5*IF($A66&gt;=기준값!$B$12,기준값!$B$14,기준값!$B$16))/$A66)</f>
        <v>4027.1607142857147</v>
      </c>
      <c r="C66" s="6">
        <f>IF($A66&lt;기준값!$B$11,"-",기준값!$B$13*기준값!$B$7-기준값!$B$8-(거리구간표!$D$6*IF($A66&gt;=기준값!$B$12,기준값!$B$14,기준값!$B$16))/$A66)</f>
        <v>3312.875</v>
      </c>
      <c r="D66" s="6">
        <f>IF($A66&lt;기준값!$B$11,"-",기준값!$B$13*기준값!$B$7-기준값!$B$8-(거리구간표!$D$7*IF($A66&gt;=기준값!$B$12,기준값!$B$14,기준값!$B$16))/$A66)</f>
        <v>2598.5892857142853</v>
      </c>
      <c r="E66" s="6">
        <f>IF($A66&lt;기준값!$B$11,"-",기준값!$B$13*기준값!$B$7-기준값!$B$8-(거리구간표!$D$8*IF($A66&gt;=기준값!$B$12,기준값!$B$14,기준값!$B$16))/$A66)</f>
        <v>1170.0178571428569</v>
      </c>
      <c r="F66" s="6">
        <f>IF($A66&lt;기준값!$B$11,"-",기준값!$B$13*기준값!$B$7-기준값!$B$8-(거리구간표!$D$9*IF($A66&gt;=기준값!$B$12,기준값!$B$14,기준값!$B$16))/$A66)</f>
        <v>455.73214285714312</v>
      </c>
      <c r="G66" s="6">
        <f>IF($A66&lt;기준값!$B$11,"-",기준값!$B$13*기준값!$B$7-기준값!$B$8-(거리구간표!$D$10*IF($A66&gt;=기준값!$B$12,기준값!$B$14,기준값!$B$16))/$A66)</f>
        <v>-258.55357142857065</v>
      </c>
      <c r="H66" s="6">
        <f>IF($A66&lt;기준값!$B$11,"-",기준값!$B$13*기준값!$B$7-기준값!$B$8-(거리구간표!$D$11*IF($A66&gt;=기준값!$B$12,기준값!$B$14,기준값!$B$16))/$A66)</f>
        <v>-972.83928571428623</v>
      </c>
      <c r="I66" s="6">
        <f>IF($A66&lt;기준값!$B$11,"-",기준값!$B$13*기준값!$B$7-기준값!$B$8-(거리구간표!$D$12*IF($A66&gt;=기준값!$B$12,기준값!$B$14,기준값!$B$16))/$A66)</f>
        <v>-1687.125</v>
      </c>
      <c r="J66" s="6">
        <f>IF($A66&lt;기준값!$B$11,"-",기준값!$B$13*기준값!$B$7-기준값!$B$8-(거리구간표!$D$13*IF($A66&gt;=기준값!$B$12,기준값!$B$14,기준값!$B$16))/$A66)</f>
        <v>-2401.4107142857138</v>
      </c>
    </row>
    <row r="67" spans="1:22">
      <c r="A67" s="36">
        <v>80</v>
      </c>
      <c r="B67" s="6">
        <f>IF($A67&lt;기준값!$B$11,"-",기준값!$B$13*기준값!$B$7-기준값!$B$8-(거리구간표!$D$5*IF($A67&gt;=기준값!$B$12,기준값!$B$14,기준값!$B$16))/$A67)</f>
        <v>4562.875</v>
      </c>
      <c r="C67" s="6">
        <f>IF($A67&lt;기준값!$B$11,"-",기준값!$B$13*기준값!$B$7-기준값!$B$8-(거리구간표!$D$6*IF($A67&gt;=기준값!$B$12,기준값!$B$14,기준값!$B$16))/$A67)</f>
        <v>3937.875</v>
      </c>
      <c r="D67" s="6">
        <f>IF($A67&lt;기준값!$B$11,"-",기준값!$B$13*기준값!$B$7-기준값!$B$8-(거리구간표!$D$7*IF($A67&gt;=기준값!$B$12,기준값!$B$14,기준값!$B$16))/$A67)</f>
        <v>3312.875</v>
      </c>
      <c r="E67" s="6">
        <f>IF($A67&lt;기준값!$B$11,"-",기준값!$B$13*기준값!$B$7-기준값!$B$8-(거리구간표!$D$8*IF($A67&gt;=기준값!$B$12,기준값!$B$14,기준값!$B$16))/$A67)</f>
        <v>2062.875</v>
      </c>
      <c r="F67" s="6">
        <f>IF($A67&lt;기준값!$B$11,"-",기준값!$B$13*기준값!$B$7-기준값!$B$8-(거리구간표!$D$9*IF($A67&gt;=기준값!$B$12,기준값!$B$14,기준값!$B$16))/$A67)</f>
        <v>1437.875</v>
      </c>
      <c r="G67" s="6">
        <f>IF($A67&lt;기준값!$B$11,"-",기준값!$B$13*기준값!$B$7-기준값!$B$8-(거리구간표!$D$10*IF($A67&gt;=기준값!$B$12,기준값!$B$14,기준값!$B$16))/$A67)</f>
        <v>812.875</v>
      </c>
      <c r="H67" s="6">
        <f>IF($A67&lt;기준값!$B$11,"-",기준값!$B$13*기준값!$B$7-기준값!$B$8-(거리구간표!$D$11*IF($A67&gt;=기준값!$B$12,기준값!$B$14,기준값!$B$16))/$A67)</f>
        <v>187.875</v>
      </c>
      <c r="I67" s="6">
        <f>IF($A67&lt;기준값!$B$11,"-",기준값!$B$13*기준값!$B$7-기준값!$B$8-(거리구간표!$D$12*IF($A67&gt;=기준값!$B$12,기준값!$B$14,기준값!$B$16))/$A67)</f>
        <v>-437.125</v>
      </c>
      <c r="J67" s="6">
        <f>IF($A67&lt;기준값!$B$11,"-",기준값!$B$13*기준값!$B$7-기준값!$B$8-(거리구간표!$D$13*IF($A67&gt;=기준값!$B$12,기준값!$B$14,기준값!$B$16))/$A67)</f>
        <v>-1062.125</v>
      </c>
    </row>
    <row r="68" spans="1:22">
      <c r="A68" s="36">
        <v>90</v>
      </c>
      <c r="B68" s="6">
        <f>IF($A68&lt;기준값!$B$11,"-",기준값!$B$13*기준값!$B$7-기준값!$B$8-(거리구간표!$D$5*IF($A68&gt;=기준값!$B$12,기준값!$B$14,기준값!$B$16))/$A68)</f>
        <v>4979.5416666666661</v>
      </c>
      <c r="C68" s="6">
        <f>IF($A68&lt;기준값!$B$11,"-",기준값!$B$13*기준값!$B$7-기준값!$B$8-(거리구간표!$D$6*IF($A68&gt;=기준값!$B$12,기준값!$B$14,기준값!$B$16))/$A68)</f>
        <v>4423.9861111111113</v>
      </c>
      <c r="D68" s="6">
        <f>IF($A68&lt;기준값!$B$11,"-",기준값!$B$13*기준값!$B$7-기준값!$B$8-(거리구간표!$D$7*IF($A68&gt;=기준값!$B$12,기준값!$B$14,기준값!$B$16))/$A68)</f>
        <v>3868.4305555555557</v>
      </c>
      <c r="E68" s="6">
        <f>IF($A68&lt;기준값!$B$11,"-",기준값!$B$13*기준값!$B$7-기준값!$B$8-(거리구간표!$D$8*IF($A68&gt;=기준값!$B$12,기준값!$B$14,기준값!$B$16))/$A68)</f>
        <v>2757.3194444444443</v>
      </c>
      <c r="F68" s="6">
        <f>IF($A68&lt;기준값!$B$11,"-",기준값!$B$13*기준값!$B$7-기준값!$B$8-(거리구간표!$D$9*IF($A68&gt;=기준값!$B$12,기준값!$B$14,기준값!$B$16))/$A68)</f>
        <v>2201.7638888888887</v>
      </c>
      <c r="G68" s="6">
        <f>IF($A68&lt;기준값!$B$11,"-",기준값!$B$13*기준값!$B$7-기준값!$B$8-(거리구간표!$D$10*IF($A68&gt;=기준값!$B$12,기준값!$B$14,기준값!$B$16))/$A68)</f>
        <v>1646.208333333333</v>
      </c>
      <c r="H68" s="6">
        <f>IF($A68&lt;기준값!$B$11,"-",기준값!$B$13*기준값!$B$7-기준값!$B$8-(거리구간표!$D$11*IF($A68&gt;=기준값!$B$12,기준값!$B$14,기준값!$B$16))/$A68)</f>
        <v>1090.6527777777774</v>
      </c>
      <c r="I68" s="6">
        <f>IF($A68&lt;기준값!$B$11,"-",기준값!$B$13*기준값!$B$7-기준값!$B$8-(거리구간표!$D$12*IF($A68&gt;=기준값!$B$12,기준값!$B$14,기준값!$B$16))/$A68)</f>
        <v>535.09722222222263</v>
      </c>
      <c r="J68" s="6">
        <f>IF($A68&lt;기준값!$B$11,"-",기준값!$B$13*기준값!$B$7-기준값!$B$8-(거리구간표!$D$13*IF($A68&gt;=기준값!$B$12,기준값!$B$14,기준값!$B$16))/$A68)</f>
        <v>-20.45833333333394</v>
      </c>
    </row>
    <row r="69" spans="1:22">
      <c r="A69" s="36">
        <v>100</v>
      </c>
      <c r="B69" s="6">
        <f>IF($A69&lt;기준값!$B$11,"-",기준값!$B$13*기준값!$B$7-기준값!$B$8-(거리구간표!$D$5*IF($A69&gt;=기준값!$B$12,기준값!$B$14,기준값!$B$16))/$A69)</f>
        <v>5312.875</v>
      </c>
      <c r="C69" s="6">
        <f>IF($A69&lt;기준값!$B$11,"-",기준값!$B$13*기준값!$B$7-기준값!$B$8-(거리구간표!$D$6*IF($A69&gt;=기준값!$B$12,기준값!$B$14,기준값!$B$16))/$A69)</f>
        <v>4812.875</v>
      </c>
      <c r="D69" s="6">
        <f>IF($A69&lt;기준값!$B$11,"-",기준값!$B$13*기준값!$B$7-기준값!$B$8-(거리구간표!$D$7*IF($A69&gt;=기준값!$B$12,기준값!$B$14,기준값!$B$16))/$A69)</f>
        <v>4312.875</v>
      </c>
      <c r="E69" s="6">
        <f>IF($A69&lt;기준값!$B$11,"-",기준값!$B$13*기준값!$B$7-기준값!$B$8-(거리구간표!$D$8*IF($A69&gt;=기준값!$B$12,기준값!$B$14,기준값!$B$16))/$A69)</f>
        <v>3312.875</v>
      </c>
      <c r="F69" s="6">
        <f>IF($A69&lt;기준값!$B$11,"-",기준값!$B$13*기준값!$B$7-기준값!$B$8-(거리구간표!$D$9*IF($A69&gt;=기준값!$B$12,기준값!$B$14,기준값!$B$16))/$A69)</f>
        <v>2812.875</v>
      </c>
      <c r="G69" s="6">
        <f>IF($A69&lt;기준값!$B$11,"-",기준값!$B$13*기준값!$B$7-기준값!$B$8-(거리구간표!$D$10*IF($A69&gt;=기준값!$B$12,기준값!$B$14,기준값!$B$16))/$A69)</f>
        <v>2312.875</v>
      </c>
      <c r="H69" s="6">
        <f>IF($A69&lt;기준값!$B$11,"-",기준값!$B$13*기준값!$B$7-기준값!$B$8-(거리구간표!$D$11*IF($A69&gt;=기준값!$B$12,기준값!$B$14,기준값!$B$16))/$A69)</f>
        <v>1812.875</v>
      </c>
      <c r="I69" s="6">
        <f>IF($A69&lt;기준값!$B$11,"-",기준값!$B$13*기준값!$B$7-기준값!$B$8-(거리구간표!$D$12*IF($A69&gt;=기준값!$B$12,기준값!$B$14,기준값!$B$16))/$A69)</f>
        <v>1312.875</v>
      </c>
      <c r="J69" s="6">
        <f>IF($A69&lt;기준값!$B$11,"-",기준값!$B$13*기준값!$B$7-기준값!$B$8-(거리구간표!$D$13*IF($A69&gt;=기준값!$B$12,기준값!$B$14,기준값!$B$16))/$A69)</f>
        <v>812.875</v>
      </c>
    </row>
    <row r="70" spans="1:22" ht="14.25" customHeight="1">
      <c r="A70" s="43" t="s">
        <v>81</v>
      </c>
      <c r="B70" s="43"/>
      <c r="C70" s="43"/>
      <c r="D70" s="43"/>
      <c r="E70" s="43"/>
      <c r="F70" s="43"/>
      <c r="G70" s="43"/>
      <c r="H70" s="43"/>
      <c r="I70" s="43"/>
      <c r="J70" s="43"/>
    </row>
    <row r="72" spans="1:22">
      <c r="A72" s="40" t="str">
        <f>"상차두수별 순수익 매트릭스 ② · 체중별 (편도거리 "&amp;기준값!$B$9&amp;"km 기준 운반비 고정)"</f>
        <v>상차두수별 순수익 매트릭스 ② · 체중별 (편도거리 100km 기준 운반비 고정)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 ht="14.25" customHeight="1">
      <c r="A73" s="43" t="s">
        <v>82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22" ht="27">
      <c r="A74" s="4" t="s">
        <v>83</v>
      </c>
      <c r="B74" s="38">
        <v>105</v>
      </c>
      <c r="C74" s="38">
        <v>106</v>
      </c>
      <c r="D74" s="38">
        <v>107</v>
      </c>
      <c r="E74" s="38">
        <v>108</v>
      </c>
      <c r="F74" s="38">
        <v>109</v>
      </c>
      <c r="G74" s="38">
        <v>110</v>
      </c>
      <c r="H74" s="38">
        <v>111</v>
      </c>
      <c r="I74" s="38">
        <v>112</v>
      </c>
      <c r="J74" s="39">
        <v>113</v>
      </c>
      <c r="K74" s="38">
        <v>114</v>
      </c>
      <c r="L74" s="38">
        <v>115</v>
      </c>
      <c r="M74" s="38">
        <v>116</v>
      </c>
      <c r="N74" s="38">
        <v>117</v>
      </c>
      <c r="O74" s="38">
        <v>118</v>
      </c>
      <c r="P74" s="38">
        <v>119</v>
      </c>
      <c r="Q74" s="38">
        <v>120</v>
      </c>
      <c r="R74" s="38">
        <v>121</v>
      </c>
      <c r="S74" s="38">
        <v>122</v>
      </c>
      <c r="T74" s="38">
        <v>123</v>
      </c>
      <c r="U74" s="38">
        <v>124</v>
      </c>
      <c r="V74" s="38">
        <v>125</v>
      </c>
    </row>
    <row r="75" spans="1:22">
      <c r="A75" s="36">
        <v>10</v>
      </c>
      <c r="B75" s="6" t="str">
        <f>IF($A75&lt;기준값!$B$11,"-",B$74*기준값!$B$7-기준값!$B$8-(기준값!$B$10*IF($A75&gt;=기준값!$B$12,IF(B$74&gt;=기준값!$B$13,기준값!$B$14,기준값!$B$16),IF(B$74&gt;=기준값!$B$13,기준값!$B$16,기준값!$B$15)))/$A75)</f>
        <v>-</v>
      </c>
      <c r="C75" s="6" t="str">
        <f>IF($A75&lt;기준값!$B$11,"-",C$74*기준값!$B$7-기준값!$B$8-(기준값!$B$10*IF($A75&gt;=기준값!$B$12,IF(C$74&gt;=기준값!$B$13,기준값!$B$14,기준값!$B$16),IF(C$74&gt;=기준값!$B$13,기준값!$B$16,기준값!$B$15)))/$A75)</f>
        <v>-</v>
      </c>
      <c r="D75" s="6" t="str">
        <f>IF($A75&lt;기준값!$B$11,"-",D$74*기준값!$B$7-기준값!$B$8-(기준값!$B$10*IF($A75&gt;=기준값!$B$12,IF(D$74&gt;=기준값!$B$13,기준값!$B$14,기준값!$B$16),IF(D$74&gt;=기준값!$B$13,기준값!$B$16,기준값!$B$15)))/$A75)</f>
        <v>-</v>
      </c>
      <c r="E75" s="6" t="str">
        <f>IF($A75&lt;기준값!$B$11,"-",E$74*기준값!$B$7-기준값!$B$8-(기준값!$B$10*IF($A75&gt;=기준값!$B$12,IF(E$74&gt;=기준값!$B$13,기준값!$B$14,기준값!$B$16),IF(E$74&gt;=기준값!$B$13,기준값!$B$16,기준값!$B$15)))/$A75)</f>
        <v>-</v>
      </c>
      <c r="F75" s="6" t="str">
        <f>IF($A75&lt;기준값!$B$11,"-",F$74*기준값!$B$7-기준값!$B$8-(기준값!$B$10*IF($A75&gt;=기준값!$B$12,IF(F$74&gt;=기준값!$B$13,기준값!$B$14,기준값!$B$16),IF(F$74&gt;=기준값!$B$13,기준값!$B$16,기준값!$B$15)))/$A75)</f>
        <v>-</v>
      </c>
      <c r="G75" s="6" t="str">
        <f>IF($A75&lt;기준값!$B$11,"-",G$74*기준값!$B$7-기준값!$B$8-(기준값!$B$10*IF($A75&gt;=기준값!$B$12,IF(G$74&gt;=기준값!$B$13,기준값!$B$14,기준값!$B$16),IF(G$74&gt;=기준값!$B$13,기준값!$B$16,기준값!$B$15)))/$A75)</f>
        <v>-</v>
      </c>
      <c r="H75" s="6" t="str">
        <f>IF($A75&lt;기준값!$B$11,"-",H$74*기준값!$B$7-기준값!$B$8-(기준값!$B$10*IF($A75&gt;=기준값!$B$12,IF(H$74&gt;=기준값!$B$13,기준값!$B$14,기준값!$B$16),IF(H$74&gt;=기준값!$B$13,기준값!$B$16,기준값!$B$15)))/$A75)</f>
        <v>-</v>
      </c>
      <c r="I75" s="6" t="str">
        <f>IF($A75&lt;기준값!$B$11,"-",I$74*기준값!$B$7-기준값!$B$8-(기준값!$B$10*IF($A75&gt;=기준값!$B$12,IF(I$74&gt;=기준값!$B$13,기준값!$B$14,기준값!$B$16),IF(I$74&gt;=기준값!$B$13,기준값!$B$16,기준값!$B$15)))/$A75)</f>
        <v>-</v>
      </c>
      <c r="J75" s="14" t="str">
        <f>IF($A75&lt;기준값!$B$11,"-",J$74*기준값!$B$7-기준값!$B$8-(기준값!$B$10*IF($A75&gt;=기준값!$B$12,IF(J$74&gt;=기준값!$B$13,기준값!$B$14,기준값!$B$16),IF(J$74&gt;=기준값!$B$13,기준값!$B$16,기준값!$B$15)))/$A75)</f>
        <v>-</v>
      </c>
      <c r="K75" s="6" t="str">
        <f>IF($A75&lt;기준값!$B$11,"-",K$74*기준값!$B$7-기준값!$B$8-(기준값!$B$10*IF($A75&gt;=기준값!$B$12,IF(K$74&gt;=기준값!$B$13,기준값!$B$14,기준값!$B$16),IF(K$74&gt;=기준값!$B$13,기준값!$B$16,기준값!$B$15)))/$A75)</f>
        <v>-</v>
      </c>
      <c r="L75" s="6" t="str">
        <f>IF($A75&lt;기준값!$B$11,"-",L$74*기준값!$B$7-기준값!$B$8-(기준값!$B$10*IF($A75&gt;=기준값!$B$12,IF(L$74&gt;=기준값!$B$13,기준값!$B$14,기준값!$B$16),IF(L$74&gt;=기준값!$B$13,기준값!$B$16,기준값!$B$15)))/$A75)</f>
        <v>-</v>
      </c>
      <c r="M75" s="6" t="str">
        <f>IF($A75&lt;기준값!$B$11,"-",M$74*기준값!$B$7-기준값!$B$8-(기준값!$B$10*IF($A75&gt;=기준값!$B$12,IF(M$74&gt;=기준값!$B$13,기준값!$B$14,기준값!$B$16),IF(M$74&gt;=기준값!$B$13,기준값!$B$16,기준값!$B$15)))/$A75)</f>
        <v>-</v>
      </c>
      <c r="N75" s="6" t="str">
        <f>IF($A75&lt;기준값!$B$11,"-",N$74*기준값!$B$7-기준값!$B$8-(기준값!$B$10*IF($A75&gt;=기준값!$B$12,IF(N$74&gt;=기준값!$B$13,기준값!$B$14,기준값!$B$16),IF(N$74&gt;=기준값!$B$13,기준값!$B$16,기준값!$B$15)))/$A75)</f>
        <v>-</v>
      </c>
      <c r="O75" s="6" t="str">
        <f>IF($A75&lt;기준값!$B$11,"-",O$74*기준값!$B$7-기준값!$B$8-(기준값!$B$10*IF($A75&gt;=기준값!$B$12,IF(O$74&gt;=기준값!$B$13,기준값!$B$14,기준값!$B$16),IF(O$74&gt;=기준값!$B$13,기준값!$B$16,기준값!$B$15)))/$A75)</f>
        <v>-</v>
      </c>
      <c r="P75" s="6" t="str">
        <f>IF($A75&lt;기준값!$B$11,"-",P$74*기준값!$B$7-기준값!$B$8-(기준값!$B$10*IF($A75&gt;=기준값!$B$12,IF(P$74&gt;=기준값!$B$13,기준값!$B$14,기준값!$B$16),IF(P$74&gt;=기준값!$B$13,기준값!$B$16,기준값!$B$15)))/$A75)</f>
        <v>-</v>
      </c>
      <c r="Q75" s="6" t="str">
        <f>IF($A75&lt;기준값!$B$11,"-",Q$74*기준값!$B$7-기준값!$B$8-(기준값!$B$10*IF($A75&gt;=기준값!$B$12,IF(Q$74&gt;=기준값!$B$13,기준값!$B$14,기준값!$B$16),IF(Q$74&gt;=기준값!$B$13,기준값!$B$16,기준값!$B$15)))/$A75)</f>
        <v>-</v>
      </c>
      <c r="R75" s="6" t="str">
        <f>IF($A75&lt;기준값!$B$11,"-",R$74*기준값!$B$7-기준값!$B$8-(기준값!$B$10*IF($A75&gt;=기준값!$B$12,IF(R$74&gt;=기준값!$B$13,기준값!$B$14,기준값!$B$16),IF(R$74&gt;=기준값!$B$13,기준값!$B$16,기준값!$B$15)))/$A75)</f>
        <v>-</v>
      </c>
      <c r="S75" s="6" t="str">
        <f>IF($A75&lt;기준값!$B$11,"-",S$74*기준값!$B$7-기준값!$B$8-(기준값!$B$10*IF($A75&gt;=기준값!$B$12,IF(S$74&gt;=기준값!$B$13,기준값!$B$14,기준값!$B$16),IF(S$74&gt;=기준값!$B$13,기준값!$B$16,기준값!$B$15)))/$A75)</f>
        <v>-</v>
      </c>
      <c r="T75" s="6" t="str">
        <f>IF($A75&lt;기준값!$B$11,"-",T$74*기준값!$B$7-기준값!$B$8-(기준값!$B$10*IF($A75&gt;=기준값!$B$12,IF(T$74&gt;=기준값!$B$13,기준값!$B$14,기준값!$B$16),IF(T$74&gt;=기준값!$B$13,기준값!$B$16,기준값!$B$15)))/$A75)</f>
        <v>-</v>
      </c>
      <c r="U75" s="6" t="str">
        <f>IF($A75&lt;기준값!$B$11,"-",U$74*기준값!$B$7-기준값!$B$8-(기준값!$B$10*IF($A75&gt;=기준값!$B$12,IF(U$74&gt;=기준값!$B$13,기준값!$B$14,기준값!$B$16),IF(U$74&gt;=기준값!$B$13,기준값!$B$16,기준값!$B$15)))/$A75)</f>
        <v>-</v>
      </c>
      <c r="V75" s="6" t="str">
        <f>IF($A75&lt;기준값!$B$11,"-",V$74*기준값!$B$7-기준값!$B$8-(기준값!$B$10*IF($A75&gt;=기준값!$B$12,IF(V$74&gt;=기준값!$B$13,기준값!$B$14,기준값!$B$16),IF(V$74&gt;=기준값!$B$13,기준값!$B$16,기준값!$B$15)))/$A75)</f>
        <v>-</v>
      </c>
    </row>
    <row r="76" spans="1:22">
      <c r="A76" s="36">
        <v>20</v>
      </c>
      <c r="B76" s="6" t="str">
        <f>IF($A76&lt;기준값!$B$11,"-",B$74*기준값!$B$7-기준값!$B$8-(기준값!$B$10*IF($A76&gt;=기준값!$B$12,IF(B$74&gt;=기준값!$B$13,기준값!$B$14,기준값!$B$16),IF(B$74&gt;=기준값!$B$13,기준값!$B$16,기준값!$B$15)))/$A76)</f>
        <v>-</v>
      </c>
      <c r="C76" s="6" t="str">
        <f>IF($A76&lt;기준값!$B$11,"-",C$74*기준값!$B$7-기준값!$B$8-(기준값!$B$10*IF($A76&gt;=기준값!$B$12,IF(C$74&gt;=기준값!$B$13,기준값!$B$14,기준값!$B$16),IF(C$74&gt;=기준값!$B$13,기준값!$B$16,기준값!$B$15)))/$A76)</f>
        <v>-</v>
      </c>
      <c r="D76" s="6" t="str">
        <f>IF($A76&lt;기준값!$B$11,"-",D$74*기준값!$B$7-기준값!$B$8-(기준값!$B$10*IF($A76&gt;=기준값!$B$12,IF(D$74&gt;=기준값!$B$13,기준값!$B$14,기준값!$B$16),IF(D$74&gt;=기준값!$B$13,기준값!$B$16,기준값!$B$15)))/$A76)</f>
        <v>-</v>
      </c>
      <c r="E76" s="6" t="str">
        <f>IF($A76&lt;기준값!$B$11,"-",E$74*기준값!$B$7-기준값!$B$8-(기준값!$B$10*IF($A76&gt;=기준값!$B$12,IF(E$74&gt;=기준값!$B$13,기준값!$B$14,기준값!$B$16),IF(E$74&gt;=기준값!$B$13,기준값!$B$16,기준값!$B$15)))/$A76)</f>
        <v>-</v>
      </c>
      <c r="F76" s="6" t="str">
        <f>IF($A76&lt;기준값!$B$11,"-",F$74*기준값!$B$7-기준값!$B$8-(기준값!$B$10*IF($A76&gt;=기준값!$B$12,IF(F$74&gt;=기준값!$B$13,기준값!$B$14,기준값!$B$16),IF(F$74&gt;=기준값!$B$13,기준값!$B$16,기준값!$B$15)))/$A76)</f>
        <v>-</v>
      </c>
      <c r="G76" s="6" t="str">
        <f>IF($A76&lt;기준값!$B$11,"-",G$74*기준값!$B$7-기준값!$B$8-(기준값!$B$10*IF($A76&gt;=기준값!$B$12,IF(G$74&gt;=기준값!$B$13,기준값!$B$14,기준값!$B$16),IF(G$74&gt;=기준값!$B$13,기준값!$B$16,기준값!$B$15)))/$A76)</f>
        <v>-</v>
      </c>
      <c r="H76" s="6" t="str">
        <f>IF($A76&lt;기준값!$B$11,"-",H$74*기준값!$B$7-기준값!$B$8-(기준값!$B$10*IF($A76&gt;=기준값!$B$12,IF(H$74&gt;=기준값!$B$13,기준값!$B$14,기준값!$B$16),IF(H$74&gt;=기준값!$B$13,기준값!$B$16,기준값!$B$15)))/$A76)</f>
        <v>-</v>
      </c>
      <c r="I76" s="6" t="str">
        <f>IF($A76&lt;기준값!$B$11,"-",I$74*기준값!$B$7-기준값!$B$8-(기준값!$B$10*IF($A76&gt;=기준값!$B$12,IF(I$74&gt;=기준값!$B$13,기준값!$B$14,기준값!$B$16),IF(I$74&gt;=기준값!$B$13,기준값!$B$16,기준값!$B$15)))/$A76)</f>
        <v>-</v>
      </c>
      <c r="J76" s="14" t="str">
        <f>IF($A76&lt;기준값!$B$11,"-",J$74*기준값!$B$7-기준값!$B$8-(기준값!$B$10*IF($A76&gt;=기준값!$B$12,IF(J$74&gt;=기준값!$B$13,기준값!$B$14,기준값!$B$16),IF(J$74&gt;=기준값!$B$13,기준값!$B$16,기준값!$B$15)))/$A76)</f>
        <v>-</v>
      </c>
      <c r="K76" s="6" t="str">
        <f>IF($A76&lt;기준값!$B$11,"-",K$74*기준값!$B$7-기준값!$B$8-(기준값!$B$10*IF($A76&gt;=기준값!$B$12,IF(K$74&gt;=기준값!$B$13,기준값!$B$14,기준값!$B$16),IF(K$74&gt;=기준값!$B$13,기준값!$B$16,기준값!$B$15)))/$A76)</f>
        <v>-</v>
      </c>
      <c r="L76" s="6" t="str">
        <f>IF($A76&lt;기준값!$B$11,"-",L$74*기준값!$B$7-기준값!$B$8-(기준값!$B$10*IF($A76&gt;=기준값!$B$12,IF(L$74&gt;=기준값!$B$13,기준값!$B$14,기준값!$B$16),IF(L$74&gt;=기준값!$B$13,기준값!$B$16,기준값!$B$15)))/$A76)</f>
        <v>-</v>
      </c>
      <c r="M76" s="6" t="str">
        <f>IF($A76&lt;기준값!$B$11,"-",M$74*기준값!$B$7-기준값!$B$8-(기준값!$B$10*IF($A76&gt;=기준값!$B$12,IF(M$74&gt;=기준값!$B$13,기준값!$B$14,기준값!$B$16),IF(M$74&gt;=기준값!$B$13,기준값!$B$16,기준값!$B$15)))/$A76)</f>
        <v>-</v>
      </c>
      <c r="N76" s="6" t="str">
        <f>IF($A76&lt;기준값!$B$11,"-",N$74*기준값!$B$7-기준값!$B$8-(기준값!$B$10*IF($A76&gt;=기준값!$B$12,IF(N$74&gt;=기준값!$B$13,기준값!$B$14,기준값!$B$16),IF(N$74&gt;=기준값!$B$13,기준값!$B$16,기준값!$B$15)))/$A76)</f>
        <v>-</v>
      </c>
      <c r="O76" s="6" t="str">
        <f>IF($A76&lt;기준값!$B$11,"-",O$74*기준값!$B$7-기준값!$B$8-(기준값!$B$10*IF($A76&gt;=기준값!$B$12,IF(O$74&gt;=기준값!$B$13,기준값!$B$14,기준값!$B$16),IF(O$74&gt;=기준값!$B$13,기준값!$B$16,기준값!$B$15)))/$A76)</f>
        <v>-</v>
      </c>
      <c r="P76" s="6" t="str">
        <f>IF($A76&lt;기준값!$B$11,"-",P$74*기준값!$B$7-기준값!$B$8-(기준값!$B$10*IF($A76&gt;=기준값!$B$12,IF(P$74&gt;=기준값!$B$13,기준값!$B$14,기준값!$B$16),IF(P$74&gt;=기준값!$B$13,기준값!$B$16,기준값!$B$15)))/$A76)</f>
        <v>-</v>
      </c>
      <c r="Q76" s="6" t="str">
        <f>IF($A76&lt;기준값!$B$11,"-",Q$74*기준값!$B$7-기준값!$B$8-(기준값!$B$10*IF($A76&gt;=기준값!$B$12,IF(Q$74&gt;=기준값!$B$13,기준값!$B$14,기준값!$B$16),IF(Q$74&gt;=기준값!$B$13,기준값!$B$16,기준값!$B$15)))/$A76)</f>
        <v>-</v>
      </c>
      <c r="R76" s="6" t="str">
        <f>IF($A76&lt;기준값!$B$11,"-",R$74*기준값!$B$7-기준값!$B$8-(기준값!$B$10*IF($A76&gt;=기준값!$B$12,IF(R$74&gt;=기준값!$B$13,기준값!$B$14,기준값!$B$16),IF(R$74&gt;=기준값!$B$13,기준값!$B$16,기준값!$B$15)))/$A76)</f>
        <v>-</v>
      </c>
      <c r="S76" s="6" t="str">
        <f>IF($A76&lt;기준값!$B$11,"-",S$74*기준값!$B$7-기준값!$B$8-(기준값!$B$10*IF($A76&gt;=기준값!$B$12,IF(S$74&gt;=기준값!$B$13,기준값!$B$14,기준값!$B$16),IF(S$74&gt;=기준값!$B$13,기준값!$B$16,기준값!$B$15)))/$A76)</f>
        <v>-</v>
      </c>
      <c r="T76" s="6" t="str">
        <f>IF($A76&lt;기준값!$B$11,"-",T$74*기준값!$B$7-기준값!$B$8-(기준값!$B$10*IF($A76&gt;=기준값!$B$12,IF(T$74&gt;=기준값!$B$13,기준값!$B$14,기준값!$B$16),IF(T$74&gt;=기준값!$B$13,기준값!$B$16,기준값!$B$15)))/$A76)</f>
        <v>-</v>
      </c>
      <c r="U76" s="6" t="str">
        <f>IF($A76&lt;기준값!$B$11,"-",U$74*기준값!$B$7-기준값!$B$8-(기준값!$B$10*IF($A76&gt;=기준값!$B$12,IF(U$74&gt;=기준값!$B$13,기준값!$B$14,기준값!$B$16),IF(U$74&gt;=기준값!$B$13,기준값!$B$16,기준값!$B$15)))/$A76)</f>
        <v>-</v>
      </c>
      <c r="V76" s="6" t="str">
        <f>IF($A76&lt;기준값!$B$11,"-",V$74*기준값!$B$7-기준값!$B$8-(기준값!$B$10*IF($A76&gt;=기준값!$B$12,IF(V$74&gt;=기준값!$B$13,기준값!$B$14,기준값!$B$16),IF(V$74&gt;=기준값!$B$13,기준값!$B$16,기준값!$B$15)))/$A76)</f>
        <v>-</v>
      </c>
    </row>
    <row r="77" spans="1:22">
      <c r="A77" s="36">
        <v>29</v>
      </c>
      <c r="B77" s="6" t="str">
        <f>IF($A77&lt;기준값!$B$11,"-",B$74*기준값!$B$7-기준값!$B$8-(기준값!$B$10*IF($A77&gt;=기준값!$B$12,IF(B$74&gt;=기준값!$B$13,기준값!$B$14,기준값!$B$16),IF(B$74&gt;=기준값!$B$13,기준값!$B$16,기준값!$B$15)))/$A77)</f>
        <v>-</v>
      </c>
      <c r="C77" s="6" t="str">
        <f>IF($A77&lt;기준값!$B$11,"-",C$74*기준값!$B$7-기준값!$B$8-(기준값!$B$10*IF($A77&gt;=기준값!$B$12,IF(C$74&gt;=기준값!$B$13,기준값!$B$14,기준값!$B$16),IF(C$74&gt;=기준값!$B$13,기준값!$B$16,기준값!$B$15)))/$A77)</f>
        <v>-</v>
      </c>
      <c r="D77" s="6" t="str">
        <f>IF($A77&lt;기준값!$B$11,"-",D$74*기준값!$B$7-기준값!$B$8-(기준값!$B$10*IF($A77&gt;=기준값!$B$12,IF(D$74&gt;=기준값!$B$13,기준값!$B$14,기준값!$B$16),IF(D$74&gt;=기준값!$B$13,기준값!$B$16,기준값!$B$15)))/$A77)</f>
        <v>-</v>
      </c>
      <c r="E77" s="6" t="str">
        <f>IF($A77&lt;기준값!$B$11,"-",E$74*기준값!$B$7-기준값!$B$8-(기준값!$B$10*IF($A77&gt;=기준값!$B$12,IF(E$74&gt;=기준값!$B$13,기준값!$B$14,기준값!$B$16),IF(E$74&gt;=기준값!$B$13,기준값!$B$16,기준값!$B$15)))/$A77)</f>
        <v>-</v>
      </c>
      <c r="F77" s="6" t="str">
        <f>IF($A77&lt;기준값!$B$11,"-",F$74*기준값!$B$7-기준값!$B$8-(기준값!$B$10*IF($A77&gt;=기준값!$B$12,IF(F$74&gt;=기준값!$B$13,기준값!$B$14,기준값!$B$16),IF(F$74&gt;=기준값!$B$13,기준값!$B$16,기준값!$B$15)))/$A77)</f>
        <v>-</v>
      </c>
      <c r="G77" s="6" t="str">
        <f>IF($A77&lt;기준값!$B$11,"-",G$74*기준값!$B$7-기준값!$B$8-(기준값!$B$10*IF($A77&gt;=기준값!$B$12,IF(G$74&gt;=기준값!$B$13,기준값!$B$14,기준값!$B$16),IF(G$74&gt;=기준값!$B$13,기준값!$B$16,기준값!$B$15)))/$A77)</f>
        <v>-</v>
      </c>
      <c r="H77" s="6" t="str">
        <f>IF($A77&lt;기준값!$B$11,"-",H$74*기준값!$B$7-기준값!$B$8-(기준값!$B$10*IF($A77&gt;=기준값!$B$12,IF(H$74&gt;=기준값!$B$13,기준값!$B$14,기준값!$B$16),IF(H$74&gt;=기준값!$B$13,기준값!$B$16,기준값!$B$15)))/$A77)</f>
        <v>-</v>
      </c>
      <c r="I77" s="6" t="str">
        <f>IF($A77&lt;기준값!$B$11,"-",I$74*기준값!$B$7-기준값!$B$8-(기준값!$B$10*IF($A77&gt;=기준값!$B$12,IF(I$74&gt;=기준값!$B$13,기준값!$B$14,기준값!$B$16),IF(I$74&gt;=기준값!$B$13,기준값!$B$16,기준값!$B$15)))/$A77)</f>
        <v>-</v>
      </c>
      <c r="J77" s="14" t="str">
        <f>IF($A77&lt;기준값!$B$11,"-",J$74*기준값!$B$7-기준값!$B$8-(기준값!$B$10*IF($A77&gt;=기준값!$B$12,IF(J$74&gt;=기준값!$B$13,기준값!$B$14,기준값!$B$16),IF(J$74&gt;=기준값!$B$13,기준값!$B$16,기준값!$B$15)))/$A77)</f>
        <v>-</v>
      </c>
      <c r="K77" s="6" t="str">
        <f>IF($A77&lt;기준값!$B$11,"-",K$74*기준값!$B$7-기준값!$B$8-(기준값!$B$10*IF($A77&gt;=기준값!$B$12,IF(K$74&gt;=기준값!$B$13,기준값!$B$14,기준값!$B$16),IF(K$74&gt;=기준값!$B$13,기준값!$B$16,기준값!$B$15)))/$A77)</f>
        <v>-</v>
      </c>
      <c r="L77" s="6" t="str">
        <f>IF($A77&lt;기준값!$B$11,"-",L$74*기준값!$B$7-기준값!$B$8-(기준값!$B$10*IF($A77&gt;=기준값!$B$12,IF(L$74&gt;=기준값!$B$13,기준값!$B$14,기준값!$B$16),IF(L$74&gt;=기준값!$B$13,기준값!$B$16,기준값!$B$15)))/$A77)</f>
        <v>-</v>
      </c>
      <c r="M77" s="6" t="str">
        <f>IF($A77&lt;기준값!$B$11,"-",M$74*기준값!$B$7-기준값!$B$8-(기준값!$B$10*IF($A77&gt;=기준값!$B$12,IF(M$74&gt;=기준값!$B$13,기준값!$B$14,기준값!$B$16),IF(M$74&gt;=기준값!$B$13,기준값!$B$16,기준값!$B$15)))/$A77)</f>
        <v>-</v>
      </c>
      <c r="N77" s="6" t="str">
        <f>IF($A77&lt;기준값!$B$11,"-",N$74*기준값!$B$7-기준값!$B$8-(기준값!$B$10*IF($A77&gt;=기준값!$B$12,IF(N$74&gt;=기준값!$B$13,기준값!$B$14,기준값!$B$16),IF(N$74&gt;=기준값!$B$13,기준값!$B$16,기준값!$B$15)))/$A77)</f>
        <v>-</v>
      </c>
      <c r="O77" s="6" t="str">
        <f>IF($A77&lt;기준값!$B$11,"-",O$74*기준값!$B$7-기준값!$B$8-(기준값!$B$10*IF($A77&gt;=기준값!$B$12,IF(O$74&gt;=기준값!$B$13,기준값!$B$14,기준값!$B$16),IF(O$74&gt;=기준값!$B$13,기준값!$B$16,기준값!$B$15)))/$A77)</f>
        <v>-</v>
      </c>
      <c r="P77" s="6" t="str">
        <f>IF($A77&lt;기준값!$B$11,"-",P$74*기준값!$B$7-기준값!$B$8-(기준값!$B$10*IF($A77&gt;=기준값!$B$12,IF(P$74&gt;=기준값!$B$13,기준값!$B$14,기준값!$B$16),IF(P$74&gt;=기준값!$B$13,기준값!$B$16,기준값!$B$15)))/$A77)</f>
        <v>-</v>
      </c>
      <c r="Q77" s="6" t="str">
        <f>IF($A77&lt;기준값!$B$11,"-",Q$74*기준값!$B$7-기준값!$B$8-(기준값!$B$10*IF($A77&gt;=기준값!$B$12,IF(Q$74&gt;=기준값!$B$13,기준값!$B$14,기준값!$B$16),IF(Q$74&gt;=기준값!$B$13,기준값!$B$16,기준값!$B$15)))/$A77)</f>
        <v>-</v>
      </c>
      <c r="R77" s="6" t="str">
        <f>IF($A77&lt;기준값!$B$11,"-",R$74*기준값!$B$7-기준값!$B$8-(기준값!$B$10*IF($A77&gt;=기준값!$B$12,IF(R$74&gt;=기준값!$B$13,기준값!$B$14,기준값!$B$16),IF(R$74&gt;=기준값!$B$13,기준값!$B$16,기준값!$B$15)))/$A77)</f>
        <v>-</v>
      </c>
      <c r="S77" s="6" t="str">
        <f>IF($A77&lt;기준값!$B$11,"-",S$74*기준값!$B$7-기준값!$B$8-(기준값!$B$10*IF($A77&gt;=기준값!$B$12,IF(S$74&gt;=기준값!$B$13,기준값!$B$14,기준값!$B$16),IF(S$74&gt;=기준값!$B$13,기준값!$B$16,기준값!$B$15)))/$A77)</f>
        <v>-</v>
      </c>
      <c r="T77" s="6" t="str">
        <f>IF($A77&lt;기준값!$B$11,"-",T$74*기준값!$B$7-기준값!$B$8-(기준값!$B$10*IF($A77&gt;=기준값!$B$12,IF(T$74&gt;=기준값!$B$13,기준값!$B$14,기준값!$B$16),IF(T$74&gt;=기준값!$B$13,기준값!$B$16,기준값!$B$15)))/$A77)</f>
        <v>-</v>
      </c>
      <c r="U77" s="6" t="str">
        <f>IF($A77&lt;기준값!$B$11,"-",U$74*기준값!$B$7-기준값!$B$8-(기준값!$B$10*IF($A77&gt;=기준값!$B$12,IF(U$74&gt;=기준값!$B$13,기준값!$B$14,기준값!$B$16),IF(U$74&gt;=기준값!$B$13,기준값!$B$16,기준값!$B$15)))/$A77)</f>
        <v>-</v>
      </c>
      <c r="V77" s="6" t="str">
        <f>IF($A77&lt;기준값!$B$11,"-",V$74*기준값!$B$7-기준값!$B$8-(기준값!$B$10*IF($A77&gt;=기준값!$B$12,IF(V$74&gt;=기준값!$B$13,기준값!$B$14,기준값!$B$16),IF(V$74&gt;=기준값!$B$13,기준값!$B$16,기준값!$B$15)))/$A77)</f>
        <v>-</v>
      </c>
    </row>
    <row r="78" spans="1:22">
      <c r="A78" s="37">
        <v>30</v>
      </c>
      <c r="B78" s="14">
        <f>IF($A78&lt;기준값!$B$11,"-",B$74*기준값!$B$7-기준값!$B$8-(기준값!$B$10*IF($A78&gt;=기준값!$B$12,IF(B$74&gt;=기준값!$B$13,기준값!$B$14,기준값!$B$16),IF(B$74&gt;=기준값!$B$13,기준값!$B$16,기준값!$B$15)))/$A78)</f>
        <v>-36051.458333333336</v>
      </c>
      <c r="C78" s="14">
        <f>IF($A78&lt;기준값!$B$11,"-",C$74*기준값!$B$7-기준값!$B$8-(기준값!$B$10*IF($A78&gt;=기준값!$B$12,IF(C$74&gt;=기준값!$B$13,기준값!$B$14,기준값!$B$16),IF(C$74&gt;=기준값!$B$13,기준값!$B$16,기준값!$B$15)))/$A78)</f>
        <v>-32172.583333333336</v>
      </c>
      <c r="D78" s="14">
        <f>IF($A78&lt;기준값!$B$11,"-",D$74*기준값!$B$7-기준값!$B$8-(기준값!$B$10*IF($A78&gt;=기준값!$B$12,IF(D$74&gt;=기준값!$B$13,기준값!$B$14,기준값!$B$16),IF(D$74&gt;=기준값!$B$13,기준값!$B$16,기준값!$B$15)))/$A78)</f>
        <v>-28293.708333333336</v>
      </c>
      <c r="E78" s="14">
        <f>IF($A78&lt;기준값!$B$11,"-",E$74*기준값!$B$7-기준값!$B$8-(기준값!$B$10*IF($A78&gt;=기준값!$B$12,IF(E$74&gt;=기준값!$B$13,기준값!$B$14,기준값!$B$16),IF(E$74&gt;=기준값!$B$13,기준값!$B$16,기준값!$B$15)))/$A78)</f>
        <v>-24414.833333333336</v>
      </c>
      <c r="F78" s="14">
        <f>IF($A78&lt;기준값!$B$11,"-",F$74*기준값!$B$7-기준값!$B$8-(기준값!$B$10*IF($A78&gt;=기준값!$B$12,IF(F$74&gt;=기준값!$B$13,기준값!$B$14,기준값!$B$16),IF(F$74&gt;=기준값!$B$13,기준값!$B$16,기준값!$B$15)))/$A78)</f>
        <v>-20535.958333333336</v>
      </c>
      <c r="G78" s="14">
        <f>IF($A78&lt;기준값!$B$11,"-",G$74*기준값!$B$7-기준값!$B$8-(기준값!$B$10*IF($A78&gt;=기준값!$B$12,IF(G$74&gt;=기준값!$B$13,기준값!$B$14,기준값!$B$16),IF(G$74&gt;=기준값!$B$13,기준값!$B$16,기준값!$B$15)))/$A78)</f>
        <v>-16657.083333333336</v>
      </c>
      <c r="H78" s="14">
        <f>IF($A78&lt;기준값!$B$11,"-",H$74*기준값!$B$7-기준값!$B$8-(기준값!$B$10*IF($A78&gt;=기준값!$B$12,IF(H$74&gt;=기준값!$B$13,기준값!$B$14,기준값!$B$16),IF(H$74&gt;=기준값!$B$13,기준값!$B$16,기준값!$B$15)))/$A78)</f>
        <v>-12778.208333333334</v>
      </c>
      <c r="I78" s="14">
        <f>IF($A78&lt;기준값!$B$11,"-",I$74*기준값!$B$7-기준값!$B$8-(기준값!$B$10*IF($A78&gt;=기준값!$B$12,IF(I$74&gt;=기준값!$B$13,기준값!$B$14,기준값!$B$16),IF(I$74&gt;=기준값!$B$13,기준값!$B$16,기준값!$B$15)))/$A78)</f>
        <v>-8899.3333333333339</v>
      </c>
      <c r="J78" s="14">
        <f>IF($A78&lt;기준값!$B$11,"-",J$74*기준값!$B$7-기준값!$B$8-(기준값!$B$10*IF($A78&gt;=기준값!$B$12,IF(J$74&gt;=기준값!$B$13,기준값!$B$14,기준값!$B$16),IF(J$74&gt;=기준값!$B$13,기준값!$B$16,기준값!$B$15)))/$A78)</f>
        <v>-5020.4583333333339</v>
      </c>
      <c r="K78" s="14">
        <f>IF($A78&lt;기준값!$B$11,"-",K$74*기준값!$B$7-기준값!$B$8-(기준값!$B$10*IF($A78&gt;=기준값!$B$12,IF(K$74&gt;=기준값!$B$13,기준값!$B$14,기준값!$B$16),IF(K$74&gt;=기준값!$B$13,기준값!$B$16,기준값!$B$15)))/$A78)</f>
        <v>-1141.5833333333339</v>
      </c>
      <c r="L78" s="14">
        <f>IF($A78&lt;기준값!$B$11,"-",L$74*기준값!$B$7-기준값!$B$8-(기준값!$B$10*IF($A78&gt;=기준값!$B$12,IF(L$74&gt;=기준값!$B$13,기준값!$B$14,기준값!$B$16),IF(L$74&gt;=기준값!$B$13,기준값!$B$16,기준값!$B$15)))/$A78)</f>
        <v>2737.2916666666661</v>
      </c>
      <c r="M78" s="14">
        <f>IF($A78&lt;기준값!$B$11,"-",M$74*기준값!$B$7-기준값!$B$8-(기준값!$B$10*IF($A78&gt;=기준값!$B$12,IF(M$74&gt;=기준값!$B$13,기준값!$B$14,기준값!$B$16),IF(M$74&gt;=기준값!$B$13,기준값!$B$16,기준값!$B$15)))/$A78)</f>
        <v>6616.1666666666661</v>
      </c>
      <c r="N78" s="14">
        <f>IF($A78&lt;기준값!$B$11,"-",N$74*기준값!$B$7-기준값!$B$8-(기준값!$B$10*IF($A78&gt;=기준값!$B$12,IF(N$74&gt;=기준값!$B$13,기준값!$B$14,기준값!$B$16),IF(N$74&gt;=기준값!$B$13,기준값!$B$16,기준값!$B$15)))/$A78)</f>
        <v>10495.041666666666</v>
      </c>
      <c r="O78" s="14">
        <f>IF($A78&lt;기준값!$B$11,"-",O$74*기준값!$B$7-기준값!$B$8-(기준값!$B$10*IF($A78&gt;=기준값!$B$12,IF(O$74&gt;=기준값!$B$13,기준값!$B$14,기준값!$B$16),IF(O$74&gt;=기준값!$B$13,기준값!$B$16,기준값!$B$15)))/$A78)</f>
        <v>14373.916666666666</v>
      </c>
      <c r="P78" s="14">
        <f>IF($A78&lt;기준값!$B$11,"-",P$74*기준값!$B$7-기준값!$B$8-(기준값!$B$10*IF($A78&gt;=기준값!$B$12,IF(P$74&gt;=기준값!$B$13,기준값!$B$14,기준값!$B$16),IF(P$74&gt;=기준값!$B$13,기준값!$B$16,기준값!$B$15)))/$A78)</f>
        <v>18252.791666666664</v>
      </c>
      <c r="Q78" s="14">
        <f>IF($A78&lt;기준값!$B$11,"-",Q$74*기준값!$B$7-기준값!$B$8-(기준값!$B$10*IF($A78&gt;=기준값!$B$12,IF(Q$74&gt;=기준값!$B$13,기준값!$B$14,기준값!$B$16),IF(Q$74&gt;=기준값!$B$13,기준값!$B$16,기준값!$B$15)))/$A78)</f>
        <v>22131.666666666664</v>
      </c>
      <c r="R78" s="14">
        <f>IF($A78&lt;기준값!$B$11,"-",R$74*기준값!$B$7-기준값!$B$8-(기준값!$B$10*IF($A78&gt;=기준값!$B$12,IF(R$74&gt;=기준값!$B$13,기준값!$B$14,기준값!$B$16),IF(R$74&gt;=기준값!$B$13,기준값!$B$16,기준값!$B$15)))/$A78)</f>
        <v>26010.541666666664</v>
      </c>
      <c r="S78" s="14">
        <f>IF($A78&lt;기준값!$B$11,"-",S$74*기준값!$B$7-기준값!$B$8-(기준값!$B$10*IF($A78&gt;=기준값!$B$12,IF(S$74&gt;=기준값!$B$13,기준값!$B$14,기준값!$B$16),IF(S$74&gt;=기준값!$B$13,기준값!$B$16,기준값!$B$15)))/$A78)</f>
        <v>29889.416666666664</v>
      </c>
      <c r="T78" s="14">
        <f>IF($A78&lt;기준값!$B$11,"-",T$74*기준값!$B$7-기준값!$B$8-(기준값!$B$10*IF($A78&gt;=기준값!$B$12,IF(T$74&gt;=기준값!$B$13,기준값!$B$14,기준값!$B$16),IF(T$74&gt;=기준값!$B$13,기준값!$B$16,기준값!$B$15)))/$A78)</f>
        <v>33768.291666666664</v>
      </c>
      <c r="U78" s="14">
        <f>IF($A78&lt;기준값!$B$11,"-",U$74*기준값!$B$7-기준값!$B$8-(기준값!$B$10*IF($A78&gt;=기준값!$B$12,IF(U$74&gt;=기준값!$B$13,기준값!$B$14,기준값!$B$16),IF(U$74&gt;=기준값!$B$13,기준값!$B$16,기준값!$B$15)))/$A78)</f>
        <v>37647.166666666664</v>
      </c>
      <c r="V78" s="14">
        <f>IF($A78&lt;기준값!$B$11,"-",V$74*기준값!$B$7-기준값!$B$8-(기준값!$B$10*IF($A78&gt;=기준값!$B$12,IF(V$74&gt;=기준값!$B$13,기준값!$B$14,기준값!$B$16),IF(V$74&gt;=기준값!$B$13,기준값!$B$16,기준값!$B$15)))/$A78)</f>
        <v>41526.041666666664</v>
      </c>
    </row>
    <row r="79" spans="1:22">
      <c r="A79" s="36">
        <v>35</v>
      </c>
      <c r="B79" s="6">
        <f>IF($A79&lt;기준값!$B$11,"-",B$74*기준값!$B$7-기준값!$B$8-(기준값!$B$10*IF($A79&gt;=기준값!$B$12,IF(B$74&gt;=기준값!$B$13,기준값!$B$14,기준값!$B$16),IF(B$74&gt;=기준값!$B$13,기준값!$B$16,기준값!$B$15)))/$A79)</f>
        <v>-34146.696428571428</v>
      </c>
      <c r="C79" s="6">
        <f>IF($A79&lt;기준값!$B$11,"-",C$74*기준값!$B$7-기준값!$B$8-(기준값!$B$10*IF($A79&gt;=기준값!$B$12,IF(C$74&gt;=기준값!$B$13,기준값!$B$14,기준값!$B$16),IF(C$74&gt;=기준값!$B$13,기준값!$B$16,기준값!$B$15)))/$A79)</f>
        <v>-30267.821428571428</v>
      </c>
      <c r="D79" s="6">
        <f>IF($A79&lt;기준값!$B$11,"-",D$74*기준값!$B$7-기준값!$B$8-(기준값!$B$10*IF($A79&gt;=기준값!$B$12,IF(D$74&gt;=기준값!$B$13,기준값!$B$14,기준값!$B$16),IF(D$74&gt;=기준값!$B$13,기준값!$B$16,기준값!$B$15)))/$A79)</f>
        <v>-26388.946428571428</v>
      </c>
      <c r="E79" s="6">
        <f>IF($A79&lt;기준값!$B$11,"-",E$74*기준값!$B$7-기준값!$B$8-(기준값!$B$10*IF($A79&gt;=기준값!$B$12,IF(E$74&gt;=기준값!$B$13,기준값!$B$14,기준값!$B$16),IF(E$74&gt;=기준값!$B$13,기준값!$B$16,기준값!$B$15)))/$A79)</f>
        <v>-22510.071428571428</v>
      </c>
      <c r="F79" s="6">
        <f>IF($A79&lt;기준값!$B$11,"-",F$74*기준값!$B$7-기준값!$B$8-(기준값!$B$10*IF($A79&gt;=기준값!$B$12,IF(F$74&gt;=기준값!$B$13,기준값!$B$14,기준값!$B$16),IF(F$74&gt;=기준값!$B$13,기준값!$B$16,기준값!$B$15)))/$A79)</f>
        <v>-18631.196428571428</v>
      </c>
      <c r="G79" s="6">
        <f>IF($A79&lt;기준값!$B$11,"-",G$74*기준값!$B$7-기준값!$B$8-(기준값!$B$10*IF($A79&gt;=기준값!$B$12,IF(G$74&gt;=기준값!$B$13,기준값!$B$14,기준값!$B$16),IF(G$74&gt;=기준값!$B$13,기준값!$B$16,기준값!$B$15)))/$A79)</f>
        <v>-14752.321428571429</v>
      </c>
      <c r="H79" s="6">
        <f>IF($A79&lt;기준값!$B$11,"-",H$74*기준값!$B$7-기준값!$B$8-(기준값!$B$10*IF($A79&gt;=기준값!$B$12,IF(H$74&gt;=기준값!$B$13,기준값!$B$14,기준값!$B$16),IF(H$74&gt;=기준값!$B$13,기준값!$B$16,기준값!$B$15)))/$A79)</f>
        <v>-10873.446428571429</v>
      </c>
      <c r="I79" s="6">
        <f>IF($A79&lt;기준값!$B$11,"-",I$74*기준값!$B$7-기준값!$B$8-(기준값!$B$10*IF($A79&gt;=기준값!$B$12,IF(I$74&gt;=기준값!$B$13,기준값!$B$14,기준값!$B$16),IF(I$74&gt;=기준값!$B$13,기준값!$B$16,기준값!$B$15)))/$A79)</f>
        <v>-6994.5714285714294</v>
      </c>
      <c r="J79" s="14">
        <f>IF($A79&lt;기준값!$B$11,"-",J$74*기준값!$B$7-기준값!$B$8-(기준값!$B$10*IF($A79&gt;=기준값!$B$12,IF(J$74&gt;=기준값!$B$13,기준값!$B$14,기준값!$B$16),IF(J$74&gt;=기준값!$B$13,기준값!$B$16,기준값!$B$15)))/$A79)</f>
        <v>-3115.6964285714294</v>
      </c>
      <c r="K79" s="6">
        <f>IF($A79&lt;기준값!$B$11,"-",K$74*기준값!$B$7-기준값!$B$8-(기준값!$B$10*IF($A79&gt;=기준값!$B$12,IF(K$74&gt;=기준값!$B$13,기준값!$B$14,기준값!$B$16),IF(K$74&gt;=기준값!$B$13,기준값!$B$16,기준값!$B$15)))/$A79)</f>
        <v>763.17857142857065</v>
      </c>
      <c r="L79" s="6">
        <f>IF($A79&lt;기준값!$B$11,"-",L$74*기준값!$B$7-기준값!$B$8-(기준값!$B$10*IF($A79&gt;=기준값!$B$12,IF(L$74&gt;=기준값!$B$13,기준값!$B$14,기준값!$B$16),IF(L$74&gt;=기준값!$B$13,기준값!$B$16,기준값!$B$15)))/$A79)</f>
        <v>4642.0535714285706</v>
      </c>
      <c r="M79" s="6">
        <f>IF($A79&lt;기준값!$B$11,"-",M$74*기준값!$B$7-기준값!$B$8-(기준값!$B$10*IF($A79&gt;=기준값!$B$12,IF(M$74&gt;=기준값!$B$13,기준값!$B$14,기준값!$B$16),IF(M$74&gt;=기준값!$B$13,기준값!$B$16,기준값!$B$15)))/$A79)</f>
        <v>8520.9285714285706</v>
      </c>
      <c r="N79" s="6">
        <f>IF($A79&lt;기준값!$B$11,"-",N$74*기준값!$B$7-기준값!$B$8-(기준값!$B$10*IF($A79&gt;=기준값!$B$12,IF(N$74&gt;=기준값!$B$13,기준값!$B$14,기준값!$B$16),IF(N$74&gt;=기준값!$B$13,기준값!$B$16,기준값!$B$15)))/$A79)</f>
        <v>12399.803571428571</v>
      </c>
      <c r="O79" s="6">
        <f>IF($A79&lt;기준값!$B$11,"-",O$74*기준값!$B$7-기준값!$B$8-(기준값!$B$10*IF($A79&gt;=기준값!$B$12,IF(O$74&gt;=기준값!$B$13,기준값!$B$14,기준값!$B$16),IF(O$74&gt;=기준값!$B$13,기준값!$B$16,기준값!$B$15)))/$A79)</f>
        <v>16278.678571428571</v>
      </c>
      <c r="P79" s="6">
        <f>IF($A79&lt;기준값!$B$11,"-",P$74*기준값!$B$7-기준값!$B$8-(기준값!$B$10*IF($A79&gt;=기준값!$B$12,IF(P$74&gt;=기준값!$B$13,기준값!$B$14,기준값!$B$16),IF(P$74&gt;=기준값!$B$13,기준값!$B$16,기준값!$B$15)))/$A79)</f>
        <v>20157.553571428572</v>
      </c>
      <c r="Q79" s="6">
        <f>IF($A79&lt;기준값!$B$11,"-",Q$74*기준값!$B$7-기준값!$B$8-(기준값!$B$10*IF($A79&gt;=기준값!$B$12,IF(Q$74&gt;=기준값!$B$13,기준값!$B$14,기준값!$B$16),IF(Q$74&gt;=기준값!$B$13,기준값!$B$16,기준값!$B$15)))/$A79)</f>
        <v>24036.428571428572</v>
      </c>
      <c r="R79" s="6">
        <f>IF($A79&lt;기준값!$B$11,"-",R$74*기준값!$B$7-기준값!$B$8-(기준값!$B$10*IF($A79&gt;=기준값!$B$12,IF(R$74&gt;=기준값!$B$13,기준값!$B$14,기준값!$B$16),IF(R$74&gt;=기준값!$B$13,기준값!$B$16,기준값!$B$15)))/$A79)</f>
        <v>27915.303571428572</v>
      </c>
      <c r="S79" s="6">
        <f>IF($A79&lt;기준값!$B$11,"-",S$74*기준값!$B$7-기준값!$B$8-(기준값!$B$10*IF($A79&gt;=기준값!$B$12,IF(S$74&gt;=기준값!$B$13,기준값!$B$14,기준값!$B$16),IF(S$74&gt;=기준값!$B$13,기준값!$B$16,기준값!$B$15)))/$A79)</f>
        <v>31794.178571428572</v>
      </c>
      <c r="T79" s="6">
        <f>IF($A79&lt;기준값!$B$11,"-",T$74*기준값!$B$7-기준값!$B$8-(기준값!$B$10*IF($A79&gt;=기준값!$B$12,IF(T$74&gt;=기준값!$B$13,기준값!$B$14,기준값!$B$16),IF(T$74&gt;=기준값!$B$13,기준값!$B$16,기준값!$B$15)))/$A79)</f>
        <v>35673.053571428572</v>
      </c>
      <c r="U79" s="6">
        <f>IF($A79&lt;기준값!$B$11,"-",U$74*기준값!$B$7-기준값!$B$8-(기준값!$B$10*IF($A79&gt;=기준값!$B$12,IF(U$74&gt;=기준값!$B$13,기준값!$B$14,기준값!$B$16),IF(U$74&gt;=기준값!$B$13,기준값!$B$16,기준값!$B$15)))/$A79)</f>
        <v>39551.928571428572</v>
      </c>
      <c r="V79" s="6">
        <f>IF($A79&lt;기준값!$B$11,"-",V$74*기준값!$B$7-기준값!$B$8-(기준값!$B$10*IF($A79&gt;=기준값!$B$12,IF(V$74&gt;=기준값!$B$13,기준값!$B$14,기준값!$B$16),IF(V$74&gt;=기준값!$B$13,기준값!$B$16,기준값!$B$15)))/$A79)</f>
        <v>43430.803571428572</v>
      </c>
    </row>
    <row r="80" spans="1:22">
      <c r="A80" s="36">
        <v>40</v>
      </c>
      <c r="B80" s="6">
        <f>IF($A80&lt;기준값!$B$11,"-",B$74*기준값!$B$7-기준값!$B$8-(기준값!$B$10*IF($A80&gt;=기준값!$B$12,IF(B$74&gt;=기준값!$B$13,기준값!$B$14,기준값!$B$16),IF(B$74&gt;=기준값!$B$13,기준값!$B$16,기준값!$B$15)))/$A80)</f>
        <v>-32718.125</v>
      </c>
      <c r="C80" s="6">
        <f>IF($A80&lt;기준값!$B$11,"-",C$74*기준값!$B$7-기준값!$B$8-(기준값!$B$10*IF($A80&gt;=기준값!$B$12,IF(C$74&gt;=기준값!$B$13,기준값!$B$14,기준값!$B$16),IF(C$74&gt;=기준값!$B$13,기준값!$B$16,기준값!$B$15)))/$A80)</f>
        <v>-28839.25</v>
      </c>
      <c r="D80" s="6">
        <f>IF($A80&lt;기준값!$B$11,"-",D$74*기준값!$B$7-기준값!$B$8-(기준값!$B$10*IF($A80&gt;=기준값!$B$12,IF(D$74&gt;=기준값!$B$13,기준값!$B$14,기준값!$B$16),IF(D$74&gt;=기준값!$B$13,기준값!$B$16,기준값!$B$15)))/$A80)</f>
        <v>-24960.375</v>
      </c>
      <c r="E80" s="6">
        <f>IF($A80&lt;기준값!$B$11,"-",E$74*기준값!$B$7-기준값!$B$8-(기준값!$B$10*IF($A80&gt;=기준값!$B$12,IF(E$74&gt;=기준값!$B$13,기준값!$B$14,기준값!$B$16),IF(E$74&gt;=기준값!$B$13,기준값!$B$16,기준값!$B$15)))/$A80)</f>
        <v>-21081.5</v>
      </c>
      <c r="F80" s="6">
        <f>IF($A80&lt;기준값!$B$11,"-",F$74*기준값!$B$7-기준값!$B$8-(기준값!$B$10*IF($A80&gt;=기준값!$B$12,IF(F$74&gt;=기준값!$B$13,기준값!$B$14,기준값!$B$16),IF(F$74&gt;=기준값!$B$13,기준값!$B$16,기준값!$B$15)))/$A80)</f>
        <v>-17202.625</v>
      </c>
      <c r="G80" s="6">
        <f>IF($A80&lt;기준값!$B$11,"-",G$74*기준값!$B$7-기준값!$B$8-(기준값!$B$10*IF($A80&gt;=기준값!$B$12,IF(G$74&gt;=기준값!$B$13,기준값!$B$14,기준값!$B$16),IF(G$74&gt;=기준값!$B$13,기준값!$B$16,기준값!$B$15)))/$A80)</f>
        <v>-13323.75</v>
      </c>
      <c r="H80" s="6">
        <f>IF($A80&lt;기준값!$B$11,"-",H$74*기준값!$B$7-기준값!$B$8-(기준값!$B$10*IF($A80&gt;=기준값!$B$12,IF(H$74&gt;=기준값!$B$13,기준값!$B$14,기준값!$B$16),IF(H$74&gt;=기준값!$B$13,기준값!$B$16,기준값!$B$15)))/$A80)</f>
        <v>-9444.875</v>
      </c>
      <c r="I80" s="6">
        <f>IF($A80&lt;기준값!$B$11,"-",I$74*기준값!$B$7-기준값!$B$8-(기준값!$B$10*IF($A80&gt;=기준값!$B$12,IF(I$74&gt;=기준값!$B$13,기준값!$B$14,기준값!$B$16),IF(I$74&gt;=기준값!$B$13,기준값!$B$16,기준값!$B$15)))/$A80)</f>
        <v>-5566</v>
      </c>
      <c r="J80" s="14">
        <f>IF($A80&lt;기준값!$B$11,"-",J$74*기준값!$B$7-기준값!$B$8-(기준값!$B$10*IF($A80&gt;=기준값!$B$12,IF(J$74&gt;=기준값!$B$13,기준값!$B$14,기준값!$B$16),IF(J$74&gt;=기준값!$B$13,기준값!$B$16,기준값!$B$15)))/$A80)</f>
        <v>-1687.125</v>
      </c>
      <c r="K80" s="6">
        <f>IF($A80&lt;기준값!$B$11,"-",K$74*기준값!$B$7-기준값!$B$8-(기준값!$B$10*IF($A80&gt;=기준값!$B$12,IF(K$74&gt;=기준값!$B$13,기준값!$B$14,기준값!$B$16),IF(K$74&gt;=기준값!$B$13,기준값!$B$16,기준값!$B$15)))/$A80)</f>
        <v>2191.75</v>
      </c>
      <c r="L80" s="6">
        <f>IF($A80&lt;기준값!$B$11,"-",L$74*기준값!$B$7-기준값!$B$8-(기준값!$B$10*IF($A80&gt;=기준값!$B$12,IF(L$74&gt;=기준값!$B$13,기준값!$B$14,기준값!$B$16),IF(L$74&gt;=기준값!$B$13,기준값!$B$16,기준값!$B$15)))/$A80)</f>
        <v>6070.625</v>
      </c>
      <c r="M80" s="6">
        <f>IF($A80&lt;기준값!$B$11,"-",M$74*기준값!$B$7-기준값!$B$8-(기준값!$B$10*IF($A80&gt;=기준값!$B$12,IF(M$74&gt;=기준값!$B$13,기준값!$B$14,기준값!$B$16),IF(M$74&gt;=기준값!$B$13,기준값!$B$16,기준값!$B$15)))/$A80)</f>
        <v>9949.5</v>
      </c>
      <c r="N80" s="6">
        <f>IF($A80&lt;기준값!$B$11,"-",N$74*기준값!$B$7-기준값!$B$8-(기준값!$B$10*IF($A80&gt;=기준값!$B$12,IF(N$74&gt;=기준값!$B$13,기준값!$B$14,기준값!$B$16),IF(N$74&gt;=기준값!$B$13,기준값!$B$16,기준값!$B$15)))/$A80)</f>
        <v>13828.375</v>
      </c>
      <c r="O80" s="6">
        <f>IF($A80&lt;기준값!$B$11,"-",O$74*기준값!$B$7-기준값!$B$8-(기준값!$B$10*IF($A80&gt;=기준값!$B$12,IF(O$74&gt;=기준값!$B$13,기준값!$B$14,기준값!$B$16),IF(O$74&gt;=기준값!$B$13,기준값!$B$16,기준값!$B$15)))/$A80)</f>
        <v>17707.25</v>
      </c>
      <c r="P80" s="6">
        <f>IF($A80&lt;기준값!$B$11,"-",P$74*기준값!$B$7-기준값!$B$8-(기준값!$B$10*IF($A80&gt;=기준값!$B$12,IF(P$74&gt;=기준값!$B$13,기준값!$B$14,기준값!$B$16),IF(P$74&gt;=기준값!$B$13,기준값!$B$16,기준값!$B$15)))/$A80)</f>
        <v>21586.125</v>
      </c>
      <c r="Q80" s="6">
        <f>IF($A80&lt;기준값!$B$11,"-",Q$74*기준값!$B$7-기준값!$B$8-(기준값!$B$10*IF($A80&gt;=기준값!$B$12,IF(Q$74&gt;=기준값!$B$13,기준값!$B$14,기준값!$B$16),IF(Q$74&gt;=기준값!$B$13,기준값!$B$16,기준값!$B$15)))/$A80)</f>
        <v>25465</v>
      </c>
      <c r="R80" s="6">
        <f>IF($A80&lt;기준값!$B$11,"-",R$74*기준값!$B$7-기준값!$B$8-(기준값!$B$10*IF($A80&gt;=기준값!$B$12,IF(R$74&gt;=기준값!$B$13,기준값!$B$14,기준값!$B$16),IF(R$74&gt;=기준값!$B$13,기준값!$B$16,기준값!$B$15)))/$A80)</f>
        <v>29343.875</v>
      </c>
      <c r="S80" s="6">
        <f>IF($A80&lt;기준값!$B$11,"-",S$74*기준값!$B$7-기준값!$B$8-(기준값!$B$10*IF($A80&gt;=기준값!$B$12,IF(S$74&gt;=기준값!$B$13,기준값!$B$14,기준값!$B$16),IF(S$74&gt;=기준값!$B$13,기준값!$B$16,기준값!$B$15)))/$A80)</f>
        <v>33222.75</v>
      </c>
      <c r="T80" s="6">
        <f>IF($A80&lt;기준값!$B$11,"-",T$74*기준값!$B$7-기준값!$B$8-(기준값!$B$10*IF($A80&gt;=기준값!$B$12,IF(T$74&gt;=기준값!$B$13,기준값!$B$14,기준값!$B$16),IF(T$74&gt;=기준값!$B$13,기준값!$B$16,기준값!$B$15)))/$A80)</f>
        <v>37101.625</v>
      </c>
      <c r="U80" s="6">
        <f>IF($A80&lt;기준값!$B$11,"-",U$74*기준값!$B$7-기준값!$B$8-(기준값!$B$10*IF($A80&gt;=기준값!$B$12,IF(U$74&gt;=기준값!$B$13,기준값!$B$14,기준값!$B$16),IF(U$74&gt;=기준값!$B$13,기준값!$B$16,기준값!$B$15)))/$A80)</f>
        <v>40980.5</v>
      </c>
      <c r="V80" s="6">
        <f>IF($A80&lt;기준값!$B$11,"-",V$74*기준값!$B$7-기준값!$B$8-(기준값!$B$10*IF($A80&gt;=기준값!$B$12,IF(V$74&gt;=기준값!$B$13,기준값!$B$14,기준값!$B$16),IF(V$74&gt;=기준값!$B$13,기준값!$B$16,기준값!$B$15)))/$A80)</f>
        <v>44859.375</v>
      </c>
    </row>
    <row r="81" spans="1:22">
      <c r="A81" s="36">
        <v>45</v>
      </c>
      <c r="B81" s="6">
        <f>IF($A81&lt;기준값!$B$11,"-",B$74*기준값!$B$7-기준값!$B$8-(기준값!$B$10*IF($A81&gt;=기준값!$B$12,IF(B$74&gt;=기준값!$B$13,기준값!$B$14,기준값!$B$16),IF(B$74&gt;=기준값!$B$13,기준값!$B$16,기준값!$B$15)))/$A81)</f>
        <v>-31607.013888888891</v>
      </c>
      <c r="C81" s="6">
        <f>IF($A81&lt;기준값!$B$11,"-",C$74*기준값!$B$7-기준값!$B$8-(기준값!$B$10*IF($A81&gt;=기준값!$B$12,IF(C$74&gt;=기준값!$B$13,기준값!$B$14,기준값!$B$16),IF(C$74&gt;=기준값!$B$13,기준값!$B$16,기준값!$B$15)))/$A81)</f>
        <v>-27728.138888888891</v>
      </c>
      <c r="D81" s="6">
        <f>IF($A81&lt;기준값!$B$11,"-",D$74*기준값!$B$7-기준값!$B$8-(기준값!$B$10*IF($A81&gt;=기준값!$B$12,IF(D$74&gt;=기준값!$B$13,기준값!$B$14,기준값!$B$16),IF(D$74&gt;=기준값!$B$13,기준값!$B$16,기준값!$B$15)))/$A81)</f>
        <v>-23849.263888888891</v>
      </c>
      <c r="E81" s="6">
        <f>IF($A81&lt;기준값!$B$11,"-",E$74*기준값!$B$7-기준값!$B$8-(기준값!$B$10*IF($A81&gt;=기준값!$B$12,IF(E$74&gt;=기준값!$B$13,기준값!$B$14,기준값!$B$16),IF(E$74&gt;=기준값!$B$13,기준값!$B$16,기준값!$B$15)))/$A81)</f>
        <v>-19970.388888888891</v>
      </c>
      <c r="F81" s="6">
        <f>IF($A81&lt;기준값!$B$11,"-",F$74*기준값!$B$7-기준값!$B$8-(기준값!$B$10*IF($A81&gt;=기준값!$B$12,IF(F$74&gt;=기준값!$B$13,기준값!$B$14,기준값!$B$16),IF(F$74&gt;=기준값!$B$13,기준값!$B$16,기준값!$B$15)))/$A81)</f>
        <v>-16091.513888888889</v>
      </c>
      <c r="G81" s="6">
        <f>IF($A81&lt;기준값!$B$11,"-",G$74*기준값!$B$7-기준값!$B$8-(기준값!$B$10*IF($A81&gt;=기준값!$B$12,IF(G$74&gt;=기준값!$B$13,기준값!$B$14,기준값!$B$16),IF(G$74&gt;=기준값!$B$13,기준값!$B$16,기준값!$B$15)))/$A81)</f>
        <v>-12212.638888888889</v>
      </c>
      <c r="H81" s="6">
        <f>IF($A81&lt;기준값!$B$11,"-",H$74*기준값!$B$7-기준값!$B$8-(기준값!$B$10*IF($A81&gt;=기준값!$B$12,IF(H$74&gt;=기준값!$B$13,기준값!$B$14,기준값!$B$16),IF(H$74&gt;=기준값!$B$13,기준값!$B$16,기준값!$B$15)))/$A81)</f>
        <v>-8333.7638888888887</v>
      </c>
      <c r="I81" s="6">
        <f>IF($A81&lt;기준값!$B$11,"-",I$74*기준값!$B$7-기준값!$B$8-(기준값!$B$10*IF($A81&gt;=기준값!$B$12,IF(I$74&gt;=기준값!$B$13,기준값!$B$14,기준값!$B$16),IF(I$74&gt;=기준값!$B$13,기준값!$B$16,기준값!$B$15)))/$A81)</f>
        <v>-4454.8888888888887</v>
      </c>
      <c r="J81" s="14">
        <f>IF($A81&lt;기준값!$B$11,"-",J$74*기준값!$B$7-기준값!$B$8-(기준값!$B$10*IF($A81&gt;=기준값!$B$12,IF(J$74&gt;=기준값!$B$13,기준값!$B$14,기준값!$B$16),IF(J$74&gt;=기준값!$B$13,기준값!$B$16,기준값!$B$15)))/$A81)</f>
        <v>-576.01388888888869</v>
      </c>
      <c r="K81" s="6">
        <f>IF($A81&lt;기준값!$B$11,"-",K$74*기준값!$B$7-기준값!$B$8-(기준값!$B$10*IF($A81&gt;=기준값!$B$12,IF(K$74&gt;=기준값!$B$13,기준값!$B$14,기준값!$B$16),IF(K$74&gt;=기준값!$B$13,기준값!$B$16,기준값!$B$15)))/$A81)</f>
        <v>3302.8611111111113</v>
      </c>
      <c r="L81" s="6">
        <f>IF($A81&lt;기준값!$B$11,"-",L$74*기준값!$B$7-기준값!$B$8-(기준값!$B$10*IF($A81&gt;=기준값!$B$12,IF(L$74&gt;=기준값!$B$13,기준값!$B$14,기준값!$B$16),IF(L$74&gt;=기준값!$B$13,기준값!$B$16,기준값!$B$15)))/$A81)</f>
        <v>7181.7361111111113</v>
      </c>
      <c r="M81" s="6">
        <f>IF($A81&lt;기준값!$B$11,"-",M$74*기준값!$B$7-기준값!$B$8-(기준값!$B$10*IF($A81&gt;=기준값!$B$12,IF(M$74&gt;=기준값!$B$13,기준값!$B$14,기준값!$B$16),IF(M$74&gt;=기준값!$B$13,기준값!$B$16,기준값!$B$15)))/$A81)</f>
        <v>11060.611111111111</v>
      </c>
      <c r="N81" s="6">
        <f>IF($A81&lt;기준값!$B$11,"-",N$74*기준값!$B$7-기준값!$B$8-(기준값!$B$10*IF($A81&gt;=기준값!$B$12,IF(N$74&gt;=기준값!$B$13,기준값!$B$14,기준값!$B$16),IF(N$74&gt;=기준값!$B$13,기준값!$B$16,기준값!$B$15)))/$A81)</f>
        <v>14939.486111111111</v>
      </c>
      <c r="O81" s="6">
        <f>IF($A81&lt;기준값!$B$11,"-",O$74*기준값!$B$7-기준값!$B$8-(기준값!$B$10*IF($A81&gt;=기준값!$B$12,IF(O$74&gt;=기준값!$B$13,기준값!$B$14,기준값!$B$16),IF(O$74&gt;=기준값!$B$13,기준값!$B$16,기준값!$B$15)))/$A81)</f>
        <v>18818.361111111109</v>
      </c>
      <c r="P81" s="6">
        <f>IF($A81&lt;기준값!$B$11,"-",P$74*기준값!$B$7-기준값!$B$8-(기준값!$B$10*IF($A81&gt;=기준값!$B$12,IF(P$74&gt;=기준값!$B$13,기준값!$B$14,기준값!$B$16),IF(P$74&gt;=기준값!$B$13,기준값!$B$16,기준값!$B$15)))/$A81)</f>
        <v>22697.236111111109</v>
      </c>
      <c r="Q81" s="6">
        <f>IF($A81&lt;기준값!$B$11,"-",Q$74*기준값!$B$7-기준값!$B$8-(기준값!$B$10*IF($A81&gt;=기준값!$B$12,IF(Q$74&gt;=기준값!$B$13,기준값!$B$14,기준값!$B$16),IF(Q$74&gt;=기준값!$B$13,기준값!$B$16,기준값!$B$15)))/$A81)</f>
        <v>26576.111111111109</v>
      </c>
      <c r="R81" s="6">
        <f>IF($A81&lt;기준값!$B$11,"-",R$74*기준값!$B$7-기준값!$B$8-(기준값!$B$10*IF($A81&gt;=기준값!$B$12,IF(R$74&gt;=기준값!$B$13,기준값!$B$14,기준값!$B$16),IF(R$74&gt;=기준값!$B$13,기준값!$B$16,기준값!$B$15)))/$A81)</f>
        <v>30454.986111111109</v>
      </c>
      <c r="S81" s="6">
        <f>IF($A81&lt;기준값!$B$11,"-",S$74*기준값!$B$7-기준값!$B$8-(기준값!$B$10*IF($A81&gt;=기준값!$B$12,IF(S$74&gt;=기준값!$B$13,기준값!$B$14,기준값!$B$16),IF(S$74&gt;=기준값!$B$13,기준값!$B$16,기준값!$B$15)))/$A81)</f>
        <v>34333.861111111109</v>
      </c>
      <c r="T81" s="6">
        <f>IF($A81&lt;기준값!$B$11,"-",T$74*기준값!$B$7-기준값!$B$8-(기준값!$B$10*IF($A81&gt;=기준값!$B$12,IF(T$74&gt;=기준값!$B$13,기준값!$B$14,기준값!$B$16),IF(T$74&gt;=기준값!$B$13,기준값!$B$16,기준값!$B$15)))/$A81)</f>
        <v>38212.736111111109</v>
      </c>
      <c r="U81" s="6">
        <f>IF($A81&lt;기준값!$B$11,"-",U$74*기준값!$B$7-기준값!$B$8-(기준값!$B$10*IF($A81&gt;=기준값!$B$12,IF(U$74&gt;=기준값!$B$13,기준값!$B$14,기준값!$B$16),IF(U$74&gt;=기준값!$B$13,기준값!$B$16,기준값!$B$15)))/$A81)</f>
        <v>42091.611111111109</v>
      </c>
      <c r="V81" s="6">
        <f>IF($A81&lt;기준값!$B$11,"-",V$74*기준값!$B$7-기준값!$B$8-(기준값!$B$10*IF($A81&gt;=기준값!$B$12,IF(V$74&gt;=기준값!$B$13,기준값!$B$14,기준값!$B$16),IF(V$74&gt;=기준값!$B$13,기준값!$B$16,기준값!$B$15)))/$A81)</f>
        <v>45970.486111111109</v>
      </c>
    </row>
    <row r="82" spans="1:22">
      <c r="A82" s="37">
        <v>50</v>
      </c>
      <c r="B82" s="14">
        <f>IF($A82&lt;기준값!$B$11,"-",B$74*기준값!$B$7-기준값!$B$8-(기준값!$B$10*IF($A82&gt;=기준값!$B$12,IF(B$74&gt;=기준값!$B$13,기준값!$B$14,기준값!$B$16),IF(B$74&gt;=기준값!$B$13,기준값!$B$16,기준값!$B$15)))/$A82)</f>
        <v>-30718.125</v>
      </c>
      <c r="C82" s="14">
        <f>IF($A82&lt;기준값!$B$11,"-",C$74*기준값!$B$7-기준값!$B$8-(기준값!$B$10*IF($A82&gt;=기준값!$B$12,IF(C$74&gt;=기준값!$B$13,기준값!$B$14,기준값!$B$16),IF(C$74&gt;=기준값!$B$13,기준값!$B$16,기준값!$B$15)))/$A82)</f>
        <v>-26839.25</v>
      </c>
      <c r="D82" s="14">
        <f>IF($A82&lt;기준값!$B$11,"-",D$74*기준값!$B$7-기준값!$B$8-(기준값!$B$10*IF($A82&gt;=기준값!$B$12,IF(D$74&gt;=기준값!$B$13,기준값!$B$14,기준값!$B$16),IF(D$74&gt;=기준값!$B$13,기준값!$B$16,기준값!$B$15)))/$A82)</f>
        <v>-22960.375</v>
      </c>
      <c r="E82" s="14">
        <f>IF($A82&lt;기준값!$B$11,"-",E$74*기준값!$B$7-기준값!$B$8-(기준값!$B$10*IF($A82&gt;=기준값!$B$12,IF(E$74&gt;=기준값!$B$13,기준값!$B$14,기준값!$B$16),IF(E$74&gt;=기준값!$B$13,기준값!$B$16,기준값!$B$15)))/$A82)</f>
        <v>-19081.5</v>
      </c>
      <c r="F82" s="14">
        <f>IF($A82&lt;기준값!$B$11,"-",F$74*기준값!$B$7-기준값!$B$8-(기준값!$B$10*IF($A82&gt;=기준값!$B$12,IF(F$74&gt;=기준값!$B$13,기준값!$B$14,기준값!$B$16),IF(F$74&gt;=기준값!$B$13,기준값!$B$16,기준값!$B$15)))/$A82)</f>
        <v>-15202.625</v>
      </c>
      <c r="G82" s="14">
        <f>IF($A82&lt;기준값!$B$11,"-",G$74*기준값!$B$7-기준값!$B$8-(기준값!$B$10*IF($A82&gt;=기준값!$B$12,IF(G$74&gt;=기준값!$B$13,기준값!$B$14,기준값!$B$16),IF(G$74&gt;=기준값!$B$13,기준값!$B$16,기준값!$B$15)))/$A82)</f>
        <v>-11323.75</v>
      </c>
      <c r="H82" s="14">
        <f>IF($A82&lt;기준값!$B$11,"-",H$74*기준값!$B$7-기준값!$B$8-(기준값!$B$10*IF($A82&gt;=기준값!$B$12,IF(H$74&gt;=기준값!$B$13,기준값!$B$14,기준값!$B$16),IF(H$74&gt;=기준값!$B$13,기준값!$B$16,기준값!$B$15)))/$A82)</f>
        <v>-7444.875</v>
      </c>
      <c r="I82" s="14">
        <f>IF($A82&lt;기준값!$B$11,"-",I$74*기준값!$B$7-기준값!$B$8-(기준값!$B$10*IF($A82&gt;=기준값!$B$12,IF(I$74&gt;=기준값!$B$13,기준값!$B$14,기준값!$B$16),IF(I$74&gt;=기준값!$B$13,기준값!$B$16,기준값!$B$15)))/$A82)</f>
        <v>-3566</v>
      </c>
      <c r="J82" s="14">
        <f>IF($A82&lt;기준값!$B$11,"-",J$74*기준값!$B$7-기준값!$B$8-(기준값!$B$10*IF($A82&gt;=기준값!$B$12,IF(J$74&gt;=기준값!$B$13,기준값!$B$14,기준값!$B$16),IF(J$74&gt;=기준값!$B$13,기준값!$B$16,기준값!$B$15)))/$A82)</f>
        <v>312.875</v>
      </c>
      <c r="K82" s="14">
        <f>IF($A82&lt;기준값!$B$11,"-",K$74*기준값!$B$7-기준값!$B$8-(기준값!$B$10*IF($A82&gt;=기준값!$B$12,IF(K$74&gt;=기준값!$B$13,기준값!$B$14,기준값!$B$16),IF(K$74&gt;=기준값!$B$13,기준값!$B$16,기준값!$B$15)))/$A82)</f>
        <v>4191.75</v>
      </c>
      <c r="L82" s="14">
        <f>IF($A82&lt;기준값!$B$11,"-",L$74*기준값!$B$7-기준값!$B$8-(기준값!$B$10*IF($A82&gt;=기준값!$B$12,IF(L$74&gt;=기준값!$B$13,기준값!$B$14,기준값!$B$16),IF(L$74&gt;=기준값!$B$13,기준값!$B$16,기준값!$B$15)))/$A82)</f>
        <v>8070.625</v>
      </c>
      <c r="M82" s="14">
        <f>IF($A82&lt;기준값!$B$11,"-",M$74*기준값!$B$7-기준값!$B$8-(기준값!$B$10*IF($A82&gt;=기준값!$B$12,IF(M$74&gt;=기준값!$B$13,기준값!$B$14,기준값!$B$16),IF(M$74&gt;=기준값!$B$13,기준값!$B$16,기준값!$B$15)))/$A82)</f>
        <v>11949.5</v>
      </c>
      <c r="N82" s="14">
        <f>IF($A82&lt;기준값!$B$11,"-",N$74*기준값!$B$7-기준값!$B$8-(기준값!$B$10*IF($A82&gt;=기준값!$B$12,IF(N$74&gt;=기준값!$B$13,기준값!$B$14,기준값!$B$16),IF(N$74&gt;=기준값!$B$13,기준값!$B$16,기준값!$B$15)))/$A82)</f>
        <v>15828.375</v>
      </c>
      <c r="O82" s="14">
        <f>IF($A82&lt;기준값!$B$11,"-",O$74*기준값!$B$7-기준값!$B$8-(기준값!$B$10*IF($A82&gt;=기준값!$B$12,IF(O$74&gt;=기준값!$B$13,기준값!$B$14,기준값!$B$16),IF(O$74&gt;=기준값!$B$13,기준값!$B$16,기준값!$B$15)))/$A82)</f>
        <v>19707.25</v>
      </c>
      <c r="P82" s="14">
        <f>IF($A82&lt;기준값!$B$11,"-",P$74*기준값!$B$7-기준값!$B$8-(기준값!$B$10*IF($A82&gt;=기준값!$B$12,IF(P$74&gt;=기준값!$B$13,기준값!$B$14,기준값!$B$16),IF(P$74&gt;=기준값!$B$13,기준값!$B$16,기준값!$B$15)))/$A82)</f>
        <v>23586.125</v>
      </c>
      <c r="Q82" s="14">
        <f>IF($A82&lt;기준값!$B$11,"-",Q$74*기준값!$B$7-기준값!$B$8-(기준값!$B$10*IF($A82&gt;=기준값!$B$12,IF(Q$74&gt;=기준값!$B$13,기준값!$B$14,기준값!$B$16),IF(Q$74&gt;=기준값!$B$13,기준값!$B$16,기준값!$B$15)))/$A82)</f>
        <v>27465</v>
      </c>
      <c r="R82" s="14">
        <f>IF($A82&lt;기준값!$B$11,"-",R$74*기준값!$B$7-기준값!$B$8-(기준값!$B$10*IF($A82&gt;=기준값!$B$12,IF(R$74&gt;=기준값!$B$13,기준값!$B$14,기준값!$B$16),IF(R$74&gt;=기준값!$B$13,기준값!$B$16,기준값!$B$15)))/$A82)</f>
        <v>31343.875</v>
      </c>
      <c r="S82" s="14">
        <f>IF($A82&lt;기준값!$B$11,"-",S$74*기준값!$B$7-기준값!$B$8-(기준값!$B$10*IF($A82&gt;=기준값!$B$12,IF(S$74&gt;=기준값!$B$13,기준값!$B$14,기준값!$B$16),IF(S$74&gt;=기준값!$B$13,기준값!$B$16,기준값!$B$15)))/$A82)</f>
        <v>35222.75</v>
      </c>
      <c r="T82" s="14">
        <f>IF($A82&lt;기준값!$B$11,"-",T$74*기준값!$B$7-기준값!$B$8-(기준값!$B$10*IF($A82&gt;=기준값!$B$12,IF(T$74&gt;=기준값!$B$13,기준값!$B$14,기준값!$B$16),IF(T$74&gt;=기준값!$B$13,기준값!$B$16,기준값!$B$15)))/$A82)</f>
        <v>39101.625</v>
      </c>
      <c r="U82" s="14">
        <f>IF($A82&lt;기준값!$B$11,"-",U$74*기준값!$B$7-기준값!$B$8-(기준값!$B$10*IF($A82&gt;=기준값!$B$12,IF(U$74&gt;=기준값!$B$13,기준값!$B$14,기준값!$B$16),IF(U$74&gt;=기준값!$B$13,기준값!$B$16,기준값!$B$15)))/$A82)</f>
        <v>42980.5</v>
      </c>
      <c r="V82" s="14">
        <f>IF($A82&lt;기준값!$B$11,"-",V$74*기준값!$B$7-기준값!$B$8-(기준값!$B$10*IF($A82&gt;=기준값!$B$12,IF(V$74&gt;=기준값!$B$13,기준값!$B$14,기준값!$B$16),IF(V$74&gt;=기준값!$B$13,기준값!$B$16,기준값!$B$15)))/$A82)</f>
        <v>46859.375</v>
      </c>
    </row>
    <row r="83" spans="1:22">
      <c r="A83" s="36">
        <v>55</v>
      </c>
      <c r="B83" s="6">
        <f>IF($A83&lt;기준값!$B$11,"-",B$74*기준값!$B$7-기준값!$B$8-(기준값!$B$10*IF($A83&gt;=기준값!$B$12,IF(B$74&gt;=기준값!$B$13,기준값!$B$14,기준값!$B$16),IF(B$74&gt;=기준값!$B$13,기준값!$B$16,기준값!$B$15)))/$A83)</f>
        <v>-29990.852272727272</v>
      </c>
      <c r="C83" s="6">
        <f>IF($A83&lt;기준값!$B$11,"-",C$74*기준값!$B$7-기준값!$B$8-(기준값!$B$10*IF($A83&gt;=기준값!$B$12,IF(C$74&gt;=기준값!$B$13,기준값!$B$14,기준값!$B$16),IF(C$74&gt;=기준값!$B$13,기준값!$B$16,기준값!$B$15)))/$A83)</f>
        <v>-26111.977272727272</v>
      </c>
      <c r="D83" s="6">
        <f>IF($A83&lt;기준값!$B$11,"-",D$74*기준값!$B$7-기준값!$B$8-(기준값!$B$10*IF($A83&gt;=기준값!$B$12,IF(D$74&gt;=기준값!$B$13,기준값!$B$14,기준값!$B$16),IF(D$74&gt;=기준값!$B$13,기준값!$B$16,기준값!$B$15)))/$A83)</f>
        <v>-22233.102272727272</v>
      </c>
      <c r="E83" s="6">
        <f>IF($A83&lt;기준값!$B$11,"-",E$74*기준값!$B$7-기준값!$B$8-(기준값!$B$10*IF($A83&gt;=기준값!$B$12,IF(E$74&gt;=기준값!$B$13,기준값!$B$14,기준값!$B$16),IF(E$74&gt;=기준값!$B$13,기준값!$B$16,기준값!$B$15)))/$A83)</f>
        <v>-18354.227272727272</v>
      </c>
      <c r="F83" s="6">
        <f>IF($A83&lt;기준값!$B$11,"-",F$74*기준값!$B$7-기준값!$B$8-(기준값!$B$10*IF($A83&gt;=기준값!$B$12,IF(F$74&gt;=기준값!$B$13,기준값!$B$14,기준값!$B$16),IF(F$74&gt;=기준값!$B$13,기준값!$B$16,기준값!$B$15)))/$A83)</f>
        <v>-14475.352272727272</v>
      </c>
      <c r="G83" s="6">
        <f>IF($A83&lt;기준값!$B$11,"-",G$74*기준값!$B$7-기준값!$B$8-(기준값!$B$10*IF($A83&gt;=기준값!$B$12,IF(G$74&gt;=기준값!$B$13,기준값!$B$14,기준값!$B$16),IF(G$74&gt;=기준값!$B$13,기준값!$B$16,기준값!$B$15)))/$A83)</f>
        <v>-10596.477272727272</v>
      </c>
      <c r="H83" s="6">
        <f>IF($A83&lt;기준값!$B$11,"-",H$74*기준값!$B$7-기준값!$B$8-(기준값!$B$10*IF($A83&gt;=기준값!$B$12,IF(H$74&gt;=기준값!$B$13,기준값!$B$14,기준값!$B$16),IF(H$74&gt;=기준값!$B$13,기준값!$B$16,기준값!$B$15)))/$A83)</f>
        <v>-6717.602272727273</v>
      </c>
      <c r="I83" s="6">
        <f>IF($A83&lt;기준값!$B$11,"-",I$74*기준값!$B$7-기준값!$B$8-(기준값!$B$10*IF($A83&gt;=기준값!$B$12,IF(I$74&gt;=기준값!$B$13,기준값!$B$14,기준값!$B$16),IF(I$74&gt;=기준값!$B$13,기준값!$B$16,기준값!$B$15)))/$A83)</f>
        <v>-2838.727272727273</v>
      </c>
      <c r="J83" s="14">
        <f>IF($A83&lt;기준값!$B$11,"-",J$74*기준값!$B$7-기준값!$B$8-(기준값!$B$10*IF($A83&gt;=기준값!$B$12,IF(J$74&gt;=기준값!$B$13,기준값!$B$14,기준값!$B$16),IF(J$74&gt;=기준값!$B$13,기준값!$B$16,기준값!$B$15)))/$A83)</f>
        <v>1040.147727272727</v>
      </c>
      <c r="K83" s="6">
        <f>IF($A83&lt;기준값!$B$11,"-",K$74*기준값!$B$7-기준값!$B$8-(기준값!$B$10*IF($A83&gt;=기준값!$B$12,IF(K$74&gt;=기준값!$B$13,기준값!$B$14,기준값!$B$16),IF(K$74&gt;=기준값!$B$13,기준값!$B$16,기준값!$B$15)))/$A83)</f>
        <v>4919.022727272727</v>
      </c>
      <c r="L83" s="6">
        <f>IF($A83&lt;기준값!$B$11,"-",L$74*기준값!$B$7-기준값!$B$8-(기준값!$B$10*IF($A83&gt;=기준값!$B$12,IF(L$74&gt;=기준값!$B$13,기준값!$B$14,기준값!$B$16),IF(L$74&gt;=기준값!$B$13,기준값!$B$16,기준값!$B$15)))/$A83)</f>
        <v>8797.8977272727279</v>
      </c>
      <c r="M83" s="6">
        <f>IF($A83&lt;기준값!$B$11,"-",M$74*기준값!$B$7-기준값!$B$8-(기준값!$B$10*IF($A83&gt;=기준값!$B$12,IF(M$74&gt;=기준값!$B$13,기준값!$B$14,기준값!$B$16),IF(M$74&gt;=기준값!$B$13,기준값!$B$16,기준값!$B$15)))/$A83)</f>
        <v>12676.772727272728</v>
      </c>
      <c r="N83" s="6">
        <f>IF($A83&lt;기준값!$B$11,"-",N$74*기준값!$B$7-기준값!$B$8-(기준값!$B$10*IF($A83&gt;=기준값!$B$12,IF(N$74&gt;=기준값!$B$13,기준값!$B$14,기준값!$B$16),IF(N$74&gt;=기준값!$B$13,기준값!$B$16,기준값!$B$15)))/$A83)</f>
        <v>16555.647727272728</v>
      </c>
      <c r="O83" s="6">
        <f>IF($A83&lt;기준값!$B$11,"-",O$74*기준값!$B$7-기준값!$B$8-(기준값!$B$10*IF($A83&gt;=기준값!$B$12,IF(O$74&gt;=기준값!$B$13,기준값!$B$14,기준값!$B$16),IF(O$74&gt;=기준값!$B$13,기준값!$B$16,기준값!$B$15)))/$A83)</f>
        <v>20434.522727272728</v>
      </c>
      <c r="P83" s="6">
        <f>IF($A83&lt;기준값!$B$11,"-",P$74*기준값!$B$7-기준값!$B$8-(기준값!$B$10*IF($A83&gt;=기준값!$B$12,IF(P$74&gt;=기준값!$B$13,기준값!$B$14,기준값!$B$16),IF(P$74&gt;=기준값!$B$13,기준값!$B$16,기준값!$B$15)))/$A83)</f>
        <v>24313.397727272728</v>
      </c>
      <c r="Q83" s="6">
        <f>IF($A83&lt;기준값!$B$11,"-",Q$74*기준값!$B$7-기준값!$B$8-(기준값!$B$10*IF($A83&gt;=기준값!$B$12,IF(Q$74&gt;=기준값!$B$13,기준값!$B$14,기준값!$B$16),IF(Q$74&gt;=기준값!$B$13,기준값!$B$16,기준값!$B$15)))/$A83)</f>
        <v>28192.272727272728</v>
      </c>
      <c r="R83" s="6">
        <f>IF($A83&lt;기준값!$B$11,"-",R$74*기준값!$B$7-기준값!$B$8-(기준값!$B$10*IF($A83&gt;=기준값!$B$12,IF(R$74&gt;=기준값!$B$13,기준값!$B$14,기준값!$B$16),IF(R$74&gt;=기준값!$B$13,기준값!$B$16,기준값!$B$15)))/$A83)</f>
        <v>32071.147727272728</v>
      </c>
      <c r="S83" s="6">
        <f>IF($A83&lt;기준값!$B$11,"-",S$74*기준값!$B$7-기준값!$B$8-(기준값!$B$10*IF($A83&gt;=기준값!$B$12,IF(S$74&gt;=기준값!$B$13,기준값!$B$14,기준값!$B$16),IF(S$74&gt;=기준값!$B$13,기준값!$B$16,기준값!$B$15)))/$A83)</f>
        <v>35950.022727272728</v>
      </c>
      <c r="T83" s="6">
        <f>IF($A83&lt;기준값!$B$11,"-",T$74*기준값!$B$7-기준값!$B$8-(기준값!$B$10*IF($A83&gt;=기준값!$B$12,IF(T$74&gt;=기준값!$B$13,기준값!$B$14,기준값!$B$16),IF(T$74&gt;=기준값!$B$13,기준값!$B$16,기준값!$B$15)))/$A83)</f>
        <v>39828.897727272728</v>
      </c>
      <c r="U83" s="6">
        <f>IF($A83&lt;기준값!$B$11,"-",U$74*기준값!$B$7-기준값!$B$8-(기준값!$B$10*IF($A83&gt;=기준값!$B$12,IF(U$74&gt;=기준값!$B$13,기준값!$B$14,기준값!$B$16),IF(U$74&gt;=기준값!$B$13,기준값!$B$16,기준값!$B$15)))/$A83)</f>
        <v>43707.772727272728</v>
      </c>
      <c r="V83" s="6">
        <f>IF($A83&lt;기준값!$B$11,"-",V$74*기준값!$B$7-기준값!$B$8-(기준값!$B$10*IF($A83&gt;=기준값!$B$12,IF(V$74&gt;=기준값!$B$13,기준값!$B$14,기준값!$B$16),IF(V$74&gt;=기준값!$B$13,기준값!$B$16,기준값!$B$15)))/$A83)</f>
        <v>47586.647727272728</v>
      </c>
    </row>
    <row r="84" spans="1:22">
      <c r="A84" s="36">
        <v>60</v>
      </c>
      <c r="B84" s="6">
        <f>IF($A84&lt;기준값!$B$11,"-",B$74*기준값!$B$7-기준값!$B$8-(기준값!$B$10*IF($A84&gt;=기준값!$B$12,IF(B$74&gt;=기준값!$B$13,기준값!$B$14,기준값!$B$16),IF(B$74&gt;=기준값!$B$13,기준값!$B$16,기준값!$B$15)))/$A84)</f>
        <v>-29384.791666666668</v>
      </c>
      <c r="C84" s="6">
        <f>IF($A84&lt;기준값!$B$11,"-",C$74*기준값!$B$7-기준값!$B$8-(기준값!$B$10*IF($A84&gt;=기준값!$B$12,IF(C$74&gt;=기준값!$B$13,기준값!$B$14,기준값!$B$16),IF(C$74&gt;=기준값!$B$13,기준값!$B$16,기준값!$B$15)))/$A84)</f>
        <v>-25505.916666666668</v>
      </c>
      <c r="D84" s="6">
        <f>IF($A84&lt;기준값!$B$11,"-",D$74*기준값!$B$7-기준값!$B$8-(기준값!$B$10*IF($A84&gt;=기준값!$B$12,IF(D$74&gt;=기준값!$B$13,기준값!$B$14,기준값!$B$16),IF(D$74&gt;=기준값!$B$13,기준값!$B$16,기준값!$B$15)))/$A84)</f>
        <v>-21627.041666666668</v>
      </c>
      <c r="E84" s="6">
        <f>IF($A84&lt;기준값!$B$11,"-",E$74*기준값!$B$7-기준값!$B$8-(기준값!$B$10*IF($A84&gt;=기준값!$B$12,IF(E$74&gt;=기준값!$B$13,기준값!$B$14,기준값!$B$16),IF(E$74&gt;=기준값!$B$13,기준값!$B$16,기준값!$B$15)))/$A84)</f>
        <v>-17748.166666666668</v>
      </c>
      <c r="F84" s="6">
        <f>IF($A84&lt;기준값!$B$11,"-",F$74*기준값!$B$7-기준값!$B$8-(기준값!$B$10*IF($A84&gt;=기준값!$B$12,IF(F$74&gt;=기준값!$B$13,기준값!$B$14,기준값!$B$16),IF(F$74&gt;=기준값!$B$13,기준값!$B$16,기준값!$B$15)))/$A84)</f>
        <v>-13869.291666666668</v>
      </c>
      <c r="G84" s="6">
        <f>IF($A84&lt;기준값!$B$11,"-",G$74*기준값!$B$7-기준값!$B$8-(기준값!$B$10*IF($A84&gt;=기준값!$B$12,IF(G$74&gt;=기준값!$B$13,기준값!$B$14,기준값!$B$16),IF(G$74&gt;=기준값!$B$13,기준값!$B$16,기준값!$B$15)))/$A84)</f>
        <v>-9990.4166666666679</v>
      </c>
      <c r="H84" s="6">
        <f>IF($A84&lt;기준값!$B$11,"-",H$74*기준값!$B$7-기준값!$B$8-(기준값!$B$10*IF($A84&gt;=기준값!$B$12,IF(H$74&gt;=기준값!$B$13,기준값!$B$14,기준값!$B$16),IF(H$74&gt;=기준값!$B$13,기준값!$B$16,기준값!$B$15)))/$A84)</f>
        <v>-6111.541666666667</v>
      </c>
      <c r="I84" s="6">
        <f>IF($A84&lt;기준값!$B$11,"-",I$74*기준값!$B$7-기준값!$B$8-(기준값!$B$10*IF($A84&gt;=기준값!$B$12,IF(I$74&gt;=기준값!$B$13,기준값!$B$14,기준값!$B$16),IF(I$74&gt;=기준값!$B$13,기준값!$B$16,기준값!$B$15)))/$A84)</f>
        <v>-2232.666666666667</v>
      </c>
      <c r="J84" s="14">
        <f>IF($A84&lt;기준값!$B$11,"-",J$74*기준값!$B$7-기준값!$B$8-(기준값!$B$10*IF($A84&gt;=기준값!$B$12,IF(J$74&gt;=기준값!$B$13,기준값!$B$14,기준값!$B$16),IF(J$74&gt;=기준값!$B$13,기준값!$B$16,기준값!$B$15)))/$A84)</f>
        <v>1646.208333333333</v>
      </c>
      <c r="K84" s="6">
        <f>IF($A84&lt;기준값!$B$11,"-",K$74*기준값!$B$7-기준값!$B$8-(기준값!$B$10*IF($A84&gt;=기준값!$B$12,IF(K$74&gt;=기준값!$B$13,기준값!$B$14,기준값!$B$16),IF(K$74&gt;=기준값!$B$13,기준값!$B$16,기준값!$B$15)))/$A84)</f>
        <v>5525.083333333333</v>
      </c>
      <c r="L84" s="6">
        <f>IF($A84&lt;기준값!$B$11,"-",L$74*기준값!$B$7-기준값!$B$8-(기준값!$B$10*IF($A84&gt;=기준값!$B$12,IF(L$74&gt;=기준값!$B$13,기준값!$B$14,기준값!$B$16),IF(L$74&gt;=기준값!$B$13,기준값!$B$16,기준값!$B$15)))/$A84)</f>
        <v>9403.9583333333321</v>
      </c>
      <c r="M84" s="6">
        <f>IF($A84&lt;기준값!$B$11,"-",M$74*기준값!$B$7-기준값!$B$8-(기준값!$B$10*IF($A84&gt;=기준값!$B$12,IF(M$74&gt;=기준값!$B$13,기준값!$B$14,기준값!$B$16),IF(M$74&gt;=기준값!$B$13,기준값!$B$16,기준값!$B$15)))/$A84)</f>
        <v>13282.833333333332</v>
      </c>
      <c r="N84" s="6">
        <f>IF($A84&lt;기준값!$B$11,"-",N$74*기준값!$B$7-기준값!$B$8-(기준값!$B$10*IF($A84&gt;=기준값!$B$12,IF(N$74&gt;=기준값!$B$13,기준값!$B$14,기준값!$B$16),IF(N$74&gt;=기준값!$B$13,기준값!$B$16,기준값!$B$15)))/$A84)</f>
        <v>17161.708333333332</v>
      </c>
      <c r="O84" s="6">
        <f>IF($A84&lt;기준값!$B$11,"-",O$74*기준값!$B$7-기준값!$B$8-(기준값!$B$10*IF($A84&gt;=기준값!$B$12,IF(O$74&gt;=기준값!$B$13,기준값!$B$14,기준값!$B$16),IF(O$74&gt;=기준값!$B$13,기준값!$B$16,기준값!$B$15)))/$A84)</f>
        <v>21040.583333333332</v>
      </c>
      <c r="P84" s="6">
        <f>IF($A84&lt;기준값!$B$11,"-",P$74*기준값!$B$7-기준값!$B$8-(기준값!$B$10*IF($A84&gt;=기준값!$B$12,IF(P$74&gt;=기준값!$B$13,기준값!$B$14,기준값!$B$16),IF(P$74&gt;=기준값!$B$13,기준값!$B$16,기준값!$B$15)))/$A84)</f>
        <v>24919.458333333332</v>
      </c>
      <c r="Q84" s="6">
        <f>IF($A84&lt;기준값!$B$11,"-",Q$74*기준값!$B$7-기준값!$B$8-(기준값!$B$10*IF($A84&gt;=기준값!$B$12,IF(Q$74&gt;=기준값!$B$13,기준값!$B$14,기준값!$B$16),IF(Q$74&gt;=기준값!$B$13,기준값!$B$16,기준값!$B$15)))/$A84)</f>
        <v>28798.333333333332</v>
      </c>
      <c r="R84" s="6">
        <f>IF($A84&lt;기준값!$B$11,"-",R$74*기준값!$B$7-기준값!$B$8-(기준값!$B$10*IF($A84&gt;=기준값!$B$12,IF(R$74&gt;=기준값!$B$13,기준값!$B$14,기준값!$B$16),IF(R$74&gt;=기준값!$B$13,기준값!$B$16,기준값!$B$15)))/$A84)</f>
        <v>32677.208333333332</v>
      </c>
      <c r="S84" s="6">
        <f>IF($A84&lt;기준값!$B$11,"-",S$74*기준값!$B$7-기준값!$B$8-(기준값!$B$10*IF($A84&gt;=기준값!$B$12,IF(S$74&gt;=기준값!$B$13,기준값!$B$14,기준값!$B$16),IF(S$74&gt;=기준값!$B$13,기준값!$B$16,기준값!$B$15)))/$A84)</f>
        <v>36556.083333333336</v>
      </c>
      <c r="T84" s="6">
        <f>IF($A84&lt;기준값!$B$11,"-",T$74*기준값!$B$7-기준값!$B$8-(기준값!$B$10*IF($A84&gt;=기준값!$B$12,IF(T$74&gt;=기준값!$B$13,기준값!$B$14,기준값!$B$16),IF(T$74&gt;=기준값!$B$13,기준값!$B$16,기준값!$B$15)))/$A84)</f>
        <v>40434.958333333336</v>
      </c>
      <c r="U84" s="6">
        <f>IF($A84&lt;기준값!$B$11,"-",U$74*기준값!$B$7-기준값!$B$8-(기준값!$B$10*IF($A84&gt;=기준값!$B$12,IF(U$74&gt;=기준값!$B$13,기준값!$B$14,기준값!$B$16),IF(U$74&gt;=기준값!$B$13,기준값!$B$16,기준값!$B$15)))/$A84)</f>
        <v>44313.833333333336</v>
      </c>
      <c r="V84" s="6">
        <f>IF($A84&lt;기준값!$B$11,"-",V$74*기준값!$B$7-기준값!$B$8-(기준값!$B$10*IF($A84&gt;=기준값!$B$12,IF(V$74&gt;=기준값!$B$13,기준값!$B$14,기준값!$B$16),IF(V$74&gt;=기준값!$B$13,기준값!$B$16,기준값!$B$15)))/$A84)</f>
        <v>48192.708333333336</v>
      </c>
    </row>
    <row r="85" spans="1:22">
      <c r="A85" s="36">
        <v>65</v>
      </c>
      <c r="B85" s="6">
        <f>IF($A85&lt;기준값!$B$11,"-",B$74*기준값!$B$7-기준값!$B$8-(기준값!$B$10*IF($A85&gt;=기준값!$B$12,IF(B$74&gt;=기준값!$B$13,기준값!$B$14,기준값!$B$16),IF(B$74&gt;=기준값!$B$13,기준값!$B$16,기준값!$B$15)))/$A85)</f>
        <v>-28871.971153846156</v>
      </c>
      <c r="C85" s="6">
        <f>IF($A85&lt;기준값!$B$11,"-",C$74*기준값!$B$7-기준값!$B$8-(기준값!$B$10*IF($A85&gt;=기준값!$B$12,IF(C$74&gt;=기준값!$B$13,기준값!$B$14,기준값!$B$16),IF(C$74&gt;=기준값!$B$13,기준값!$B$16,기준값!$B$15)))/$A85)</f>
        <v>-24993.096153846156</v>
      </c>
      <c r="D85" s="6">
        <f>IF($A85&lt;기준값!$B$11,"-",D$74*기준값!$B$7-기준값!$B$8-(기준값!$B$10*IF($A85&gt;=기준값!$B$12,IF(D$74&gt;=기준값!$B$13,기준값!$B$14,기준값!$B$16),IF(D$74&gt;=기준값!$B$13,기준값!$B$16,기준값!$B$15)))/$A85)</f>
        <v>-21114.221153846156</v>
      </c>
      <c r="E85" s="6">
        <f>IF($A85&lt;기준값!$B$11,"-",E$74*기준값!$B$7-기준값!$B$8-(기준값!$B$10*IF($A85&gt;=기준값!$B$12,IF(E$74&gt;=기준값!$B$13,기준값!$B$14,기준값!$B$16),IF(E$74&gt;=기준값!$B$13,기준값!$B$16,기준값!$B$15)))/$A85)</f>
        <v>-17235.346153846156</v>
      </c>
      <c r="F85" s="6">
        <f>IF($A85&lt;기준값!$B$11,"-",F$74*기준값!$B$7-기준값!$B$8-(기준값!$B$10*IF($A85&gt;=기준값!$B$12,IF(F$74&gt;=기준값!$B$13,기준값!$B$14,기준값!$B$16),IF(F$74&gt;=기준값!$B$13,기준값!$B$16,기준값!$B$15)))/$A85)</f>
        <v>-13356.471153846154</v>
      </c>
      <c r="G85" s="6">
        <f>IF($A85&lt;기준값!$B$11,"-",G$74*기준값!$B$7-기준값!$B$8-(기준값!$B$10*IF($A85&gt;=기준값!$B$12,IF(G$74&gt;=기준값!$B$13,기준값!$B$14,기준값!$B$16),IF(G$74&gt;=기준값!$B$13,기준값!$B$16,기준값!$B$15)))/$A85)</f>
        <v>-9477.5961538461543</v>
      </c>
      <c r="H85" s="6">
        <f>IF($A85&lt;기준값!$B$11,"-",H$74*기준값!$B$7-기준값!$B$8-(기준값!$B$10*IF($A85&gt;=기준값!$B$12,IF(H$74&gt;=기준값!$B$13,기준값!$B$14,기준값!$B$16),IF(H$74&gt;=기준값!$B$13,기준값!$B$16,기준값!$B$15)))/$A85)</f>
        <v>-5598.7211538461543</v>
      </c>
      <c r="I85" s="6">
        <f>IF($A85&lt;기준값!$B$11,"-",I$74*기준값!$B$7-기준값!$B$8-(기준값!$B$10*IF($A85&gt;=기준값!$B$12,IF(I$74&gt;=기준값!$B$13,기준값!$B$14,기준값!$B$16),IF(I$74&gt;=기준값!$B$13,기준값!$B$16,기준값!$B$15)))/$A85)</f>
        <v>-1719.8461538461543</v>
      </c>
      <c r="J85" s="14">
        <f>IF($A85&lt;기준값!$B$11,"-",J$74*기준값!$B$7-기준값!$B$8-(기준값!$B$10*IF($A85&gt;=기준값!$B$12,IF(J$74&gt;=기준값!$B$13,기준값!$B$14,기준값!$B$16),IF(J$74&gt;=기준값!$B$13,기준값!$B$16,기준값!$B$15)))/$A85)</f>
        <v>2159.0288461538457</v>
      </c>
      <c r="K85" s="6">
        <f>IF($A85&lt;기준값!$B$11,"-",K$74*기준값!$B$7-기준값!$B$8-(기준값!$B$10*IF($A85&gt;=기준값!$B$12,IF(K$74&gt;=기준값!$B$13,기준값!$B$14,기준값!$B$16),IF(K$74&gt;=기준값!$B$13,기준값!$B$16,기준값!$B$15)))/$A85)</f>
        <v>6037.9038461538457</v>
      </c>
      <c r="L85" s="6">
        <f>IF($A85&lt;기준값!$B$11,"-",L$74*기준값!$B$7-기준값!$B$8-(기준값!$B$10*IF($A85&gt;=기준값!$B$12,IF(L$74&gt;=기준값!$B$13,기준값!$B$14,기준값!$B$16),IF(L$74&gt;=기준값!$B$13,기준값!$B$16,기준값!$B$15)))/$A85)</f>
        <v>9916.7788461538457</v>
      </c>
      <c r="M85" s="6">
        <f>IF($A85&lt;기준값!$B$11,"-",M$74*기준값!$B$7-기준값!$B$8-(기준값!$B$10*IF($A85&gt;=기준값!$B$12,IF(M$74&gt;=기준값!$B$13,기준값!$B$14,기준값!$B$16),IF(M$74&gt;=기준값!$B$13,기준값!$B$16,기준값!$B$15)))/$A85)</f>
        <v>13795.653846153846</v>
      </c>
      <c r="N85" s="6">
        <f>IF($A85&lt;기준값!$B$11,"-",N$74*기준값!$B$7-기준값!$B$8-(기준값!$B$10*IF($A85&gt;=기준값!$B$12,IF(N$74&gt;=기준값!$B$13,기준값!$B$14,기준값!$B$16),IF(N$74&gt;=기준값!$B$13,기준값!$B$16,기준값!$B$15)))/$A85)</f>
        <v>17674.528846153844</v>
      </c>
      <c r="O85" s="6">
        <f>IF($A85&lt;기준값!$B$11,"-",O$74*기준값!$B$7-기준값!$B$8-(기준값!$B$10*IF($A85&gt;=기준값!$B$12,IF(O$74&gt;=기준값!$B$13,기준값!$B$14,기준값!$B$16),IF(O$74&gt;=기준값!$B$13,기준값!$B$16,기준값!$B$15)))/$A85)</f>
        <v>21553.403846153844</v>
      </c>
      <c r="P85" s="6">
        <f>IF($A85&lt;기준값!$B$11,"-",P$74*기준값!$B$7-기준값!$B$8-(기준값!$B$10*IF($A85&gt;=기준값!$B$12,IF(P$74&gt;=기준값!$B$13,기준값!$B$14,기준값!$B$16),IF(P$74&gt;=기준값!$B$13,기준값!$B$16,기준값!$B$15)))/$A85)</f>
        <v>25432.278846153844</v>
      </c>
      <c r="Q85" s="6">
        <f>IF($A85&lt;기준값!$B$11,"-",Q$74*기준값!$B$7-기준값!$B$8-(기준값!$B$10*IF($A85&gt;=기준값!$B$12,IF(Q$74&gt;=기준값!$B$13,기준값!$B$14,기준값!$B$16),IF(Q$74&gt;=기준값!$B$13,기준값!$B$16,기준값!$B$15)))/$A85)</f>
        <v>29311.153846153844</v>
      </c>
      <c r="R85" s="6">
        <f>IF($A85&lt;기준값!$B$11,"-",R$74*기준값!$B$7-기준값!$B$8-(기준값!$B$10*IF($A85&gt;=기준값!$B$12,IF(R$74&gt;=기준값!$B$13,기준값!$B$14,기준값!$B$16),IF(R$74&gt;=기준값!$B$13,기준값!$B$16,기준값!$B$15)))/$A85)</f>
        <v>33190.028846153844</v>
      </c>
      <c r="S85" s="6">
        <f>IF($A85&lt;기준값!$B$11,"-",S$74*기준값!$B$7-기준값!$B$8-(기준값!$B$10*IF($A85&gt;=기준값!$B$12,IF(S$74&gt;=기준값!$B$13,기준값!$B$14,기준값!$B$16),IF(S$74&gt;=기준값!$B$13,기준값!$B$16,기준값!$B$15)))/$A85)</f>
        <v>37068.903846153844</v>
      </c>
      <c r="T85" s="6">
        <f>IF($A85&lt;기준값!$B$11,"-",T$74*기준값!$B$7-기준값!$B$8-(기준값!$B$10*IF($A85&gt;=기준값!$B$12,IF(T$74&gt;=기준값!$B$13,기준값!$B$14,기준값!$B$16),IF(T$74&gt;=기준값!$B$13,기준값!$B$16,기준값!$B$15)))/$A85)</f>
        <v>40947.778846153844</v>
      </c>
      <c r="U85" s="6">
        <f>IF($A85&lt;기준값!$B$11,"-",U$74*기준값!$B$7-기준값!$B$8-(기준값!$B$10*IF($A85&gt;=기준값!$B$12,IF(U$74&gt;=기준값!$B$13,기준값!$B$14,기준값!$B$16),IF(U$74&gt;=기준값!$B$13,기준값!$B$16,기준값!$B$15)))/$A85)</f>
        <v>44826.653846153844</v>
      </c>
      <c r="V85" s="6">
        <f>IF($A85&lt;기준값!$B$11,"-",V$74*기준값!$B$7-기준값!$B$8-(기준값!$B$10*IF($A85&gt;=기준값!$B$12,IF(V$74&gt;=기준값!$B$13,기준값!$B$14,기준값!$B$16),IF(V$74&gt;=기준값!$B$13,기준값!$B$16,기준값!$B$15)))/$A85)</f>
        <v>48705.528846153844</v>
      </c>
    </row>
    <row r="86" spans="1:22">
      <c r="A86" s="36">
        <v>70</v>
      </c>
      <c r="B86" s="6">
        <f>IF($A86&lt;기준값!$B$11,"-",B$74*기준값!$B$7-기준값!$B$8-(기준값!$B$10*IF($A86&gt;=기준값!$B$12,IF(B$74&gt;=기준값!$B$13,기준값!$B$14,기준값!$B$16),IF(B$74&gt;=기준값!$B$13,기준값!$B$16,기준값!$B$15)))/$A86)</f>
        <v>-28432.410714285714</v>
      </c>
      <c r="C86" s="6">
        <f>IF($A86&lt;기준값!$B$11,"-",C$74*기준값!$B$7-기준값!$B$8-(기준값!$B$10*IF($A86&gt;=기준값!$B$12,IF(C$74&gt;=기준값!$B$13,기준값!$B$14,기준값!$B$16),IF(C$74&gt;=기준값!$B$13,기준값!$B$16,기준값!$B$15)))/$A86)</f>
        <v>-24553.535714285714</v>
      </c>
      <c r="D86" s="6">
        <f>IF($A86&lt;기준값!$B$11,"-",D$74*기준값!$B$7-기준값!$B$8-(기준값!$B$10*IF($A86&gt;=기준값!$B$12,IF(D$74&gt;=기준값!$B$13,기준값!$B$14,기준값!$B$16),IF(D$74&gt;=기준값!$B$13,기준값!$B$16,기준값!$B$15)))/$A86)</f>
        <v>-20674.660714285714</v>
      </c>
      <c r="E86" s="6">
        <f>IF($A86&lt;기준값!$B$11,"-",E$74*기준값!$B$7-기준값!$B$8-(기준값!$B$10*IF($A86&gt;=기준값!$B$12,IF(E$74&gt;=기준값!$B$13,기준값!$B$14,기준값!$B$16),IF(E$74&gt;=기준값!$B$13,기준값!$B$16,기준값!$B$15)))/$A86)</f>
        <v>-16795.785714285714</v>
      </c>
      <c r="F86" s="6">
        <f>IF($A86&lt;기준값!$B$11,"-",F$74*기준값!$B$7-기준값!$B$8-(기준값!$B$10*IF($A86&gt;=기준값!$B$12,IF(F$74&gt;=기준값!$B$13,기준값!$B$14,기준값!$B$16),IF(F$74&gt;=기준값!$B$13,기준값!$B$16,기준값!$B$15)))/$A86)</f>
        <v>-12916.910714285714</v>
      </c>
      <c r="G86" s="6">
        <f>IF($A86&lt;기준값!$B$11,"-",G$74*기준값!$B$7-기준값!$B$8-(기준값!$B$10*IF($A86&gt;=기준값!$B$12,IF(G$74&gt;=기준값!$B$13,기준값!$B$14,기준값!$B$16),IF(G$74&gt;=기준값!$B$13,기준값!$B$16,기준값!$B$15)))/$A86)</f>
        <v>-9038.0357142857138</v>
      </c>
      <c r="H86" s="6">
        <f>IF($A86&lt;기준값!$B$11,"-",H$74*기준값!$B$7-기준값!$B$8-(기준값!$B$10*IF($A86&gt;=기준값!$B$12,IF(H$74&gt;=기준값!$B$13,기준값!$B$14,기준값!$B$16),IF(H$74&gt;=기준값!$B$13,기준값!$B$16,기준값!$B$15)))/$A86)</f>
        <v>-5159.1607142857147</v>
      </c>
      <c r="I86" s="6">
        <f>IF($A86&lt;기준값!$B$11,"-",I$74*기준값!$B$7-기준값!$B$8-(기준값!$B$10*IF($A86&gt;=기준값!$B$12,IF(I$74&gt;=기준값!$B$13,기준값!$B$14,기준값!$B$16),IF(I$74&gt;=기준값!$B$13,기준값!$B$16,기준값!$B$15)))/$A86)</f>
        <v>-1280.2857142857147</v>
      </c>
      <c r="J86" s="14">
        <f>IF($A86&lt;기준값!$B$11,"-",J$74*기준값!$B$7-기준값!$B$8-(기준값!$B$10*IF($A86&gt;=기준값!$B$12,IF(J$74&gt;=기준값!$B$13,기준값!$B$14,기준값!$B$16),IF(J$74&gt;=기준값!$B$13,기준값!$B$16,기준값!$B$15)))/$A86)</f>
        <v>2598.5892857142853</v>
      </c>
      <c r="K86" s="6">
        <f>IF($A86&lt;기준값!$B$11,"-",K$74*기준값!$B$7-기준값!$B$8-(기준값!$B$10*IF($A86&gt;=기준값!$B$12,IF(K$74&gt;=기준값!$B$13,기준값!$B$14,기준값!$B$16),IF(K$74&gt;=기준값!$B$13,기준값!$B$16,기준값!$B$15)))/$A86)</f>
        <v>6477.4642857142853</v>
      </c>
      <c r="L86" s="6">
        <f>IF($A86&lt;기준값!$B$11,"-",L$74*기준값!$B$7-기준값!$B$8-(기준값!$B$10*IF($A86&gt;=기준값!$B$12,IF(L$74&gt;=기준값!$B$13,기준값!$B$14,기준값!$B$16),IF(L$74&gt;=기준값!$B$13,기준값!$B$16,기준값!$B$15)))/$A86)</f>
        <v>10356.339285714286</v>
      </c>
      <c r="M86" s="6">
        <f>IF($A86&lt;기준값!$B$11,"-",M$74*기준값!$B$7-기준값!$B$8-(기준값!$B$10*IF($A86&gt;=기준값!$B$12,IF(M$74&gt;=기준값!$B$13,기준값!$B$14,기준값!$B$16),IF(M$74&gt;=기준값!$B$13,기준값!$B$16,기준값!$B$15)))/$A86)</f>
        <v>14235.214285714286</v>
      </c>
      <c r="N86" s="6">
        <f>IF($A86&lt;기준값!$B$11,"-",N$74*기준값!$B$7-기준값!$B$8-(기준값!$B$10*IF($A86&gt;=기준값!$B$12,IF(N$74&gt;=기준값!$B$13,기준값!$B$14,기준값!$B$16),IF(N$74&gt;=기준값!$B$13,기준값!$B$16,기준값!$B$15)))/$A86)</f>
        <v>18114.089285714286</v>
      </c>
      <c r="O86" s="6">
        <f>IF($A86&lt;기준값!$B$11,"-",O$74*기준값!$B$7-기준값!$B$8-(기준값!$B$10*IF($A86&gt;=기준값!$B$12,IF(O$74&gt;=기준값!$B$13,기준값!$B$14,기준값!$B$16),IF(O$74&gt;=기준값!$B$13,기준값!$B$16,기준값!$B$15)))/$A86)</f>
        <v>21992.964285714286</v>
      </c>
      <c r="P86" s="6">
        <f>IF($A86&lt;기준값!$B$11,"-",P$74*기준값!$B$7-기준값!$B$8-(기준값!$B$10*IF($A86&gt;=기준값!$B$12,IF(P$74&gt;=기준값!$B$13,기준값!$B$14,기준값!$B$16),IF(P$74&gt;=기준값!$B$13,기준값!$B$16,기준값!$B$15)))/$A86)</f>
        <v>25871.839285714286</v>
      </c>
      <c r="Q86" s="6">
        <f>IF($A86&lt;기준값!$B$11,"-",Q$74*기준값!$B$7-기준값!$B$8-(기준값!$B$10*IF($A86&gt;=기준값!$B$12,IF(Q$74&gt;=기준값!$B$13,기준값!$B$14,기준값!$B$16),IF(Q$74&gt;=기준값!$B$13,기준값!$B$16,기준값!$B$15)))/$A86)</f>
        <v>29750.714285714286</v>
      </c>
      <c r="R86" s="6">
        <f>IF($A86&lt;기준값!$B$11,"-",R$74*기준값!$B$7-기준값!$B$8-(기준값!$B$10*IF($A86&gt;=기준값!$B$12,IF(R$74&gt;=기준값!$B$13,기준값!$B$14,기준값!$B$16),IF(R$74&gt;=기준값!$B$13,기준값!$B$16,기준값!$B$15)))/$A86)</f>
        <v>33629.589285714283</v>
      </c>
      <c r="S86" s="6">
        <f>IF($A86&lt;기준값!$B$11,"-",S$74*기준값!$B$7-기준값!$B$8-(기준값!$B$10*IF($A86&gt;=기준값!$B$12,IF(S$74&gt;=기준값!$B$13,기준값!$B$14,기준값!$B$16),IF(S$74&gt;=기준값!$B$13,기준값!$B$16,기준값!$B$15)))/$A86)</f>
        <v>37508.464285714283</v>
      </c>
      <c r="T86" s="6">
        <f>IF($A86&lt;기준값!$B$11,"-",T$74*기준값!$B$7-기준값!$B$8-(기준값!$B$10*IF($A86&gt;=기준값!$B$12,IF(T$74&gt;=기준값!$B$13,기준값!$B$14,기준값!$B$16),IF(T$74&gt;=기준값!$B$13,기준값!$B$16,기준값!$B$15)))/$A86)</f>
        <v>41387.339285714283</v>
      </c>
      <c r="U86" s="6">
        <f>IF($A86&lt;기준값!$B$11,"-",U$74*기준값!$B$7-기준값!$B$8-(기준값!$B$10*IF($A86&gt;=기준값!$B$12,IF(U$74&gt;=기준값!$B$13,기준값!$B$14,기준값!$B$16),IF(U$74&gt;=기준값!$B$13,기준값!$B$16,기준값!$B$15)))/$A86)</f>
        <v>45266.214285714283</v>
      </c>
      <c r="V86" s="6">
        <f>IF($A86&lt;기준값!$B$11,"-",V$74*기준값!$B$7-기준값!$B$8-(기준값!$B$10*IF($A86&gt;=기준값!$B$12,IF(V$74&gt;=기준값!$B$13,기준값!$B$14,기준값!$B$16),IF(V$74&gt;=기준값!$B$13,기준값!$B$16,기준값!$B$15)))/$A86)</f>
        <v>49145.089285714283</v>
      </c>
    </row>
    <row r="87" spans="1:22" ht="14.25" customHeight="1">
      <c r="A87" s="43" t="s">
        <v>84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</sheetData>
  <mergeCells count="10">
    <mergeCell ref="A2:J2"/>
    <mergeCell ref="A4:J4"/>
    <mergeCell ref="A29:J29"/>
    <mergeCell ref="A53:J53"/>
    <mergeCell ref="A55:J55"/>
    <mergeCell ref="A56:J56"/>
    <mergeCell ref="A70:J70"/>
    <mergeCell ref="A72:V72"/>
    <mergeCell ref="A73:V73"/>
    <mergeCell ref="A87:V87"/>
  </mergeCells>
  <phoneticPr fontId="14" type="noConversion"/>
  <conditionalFormatting sqref="B6:J26">
    <cfRule type="colorScale" priority="2">
      <colorScale>
        <cfvo type="min"/>
        <cfvo type="num" val="0"/>
        <cfvo type="max"/>
        <color rgb="FFA0453A"/>
        <color rgb="FFFBF6EC"/>
        <color rgb="FF43704A"/>
      </colorScale>
    </cfRule>
  </conditionalFormatting>
  <conditionalFormatting sqref="B31:J51">
    <cfRule type="colorScale" priority="3">
      <colorScale>
        <cfvo type="min"/>
        <cfvo type="num" val="0"/>
        <cfvo type="max"/>
        <color rgb="FFA0453A"/>
        <color rgb="FFFBF6EC"/>
        <color rgb="FF43704A"/>
      </colorScale>
    </cfRule>
  </conditionalFormatting>
  <conditionalFormatting sqref="B58:J69">
    <cfRule type="colorScale" priority="4">
      <colorScale>
        <cfvo type="min"/>
        <cfvo type="num" val="0"/>
        <cfvo type="max"/>
        <color rgb="FFA0453A"/>
        <color rgb="FFFBF6EC"/>
        <color rgb="FF43704A"/>
      </colorScale>
    </cfRule>
  </conditionalFormatting>
  <conditionalFormatting sqref="B75:V86">
    <cfRule type="colorScale" priority="5">
      <colorScale>
        <cfvo type="min"/>
        <cfvo type="num" val="0"/>
        <cfvo type="max"/>
        <color rgb="FFA0453A"/>
        <color rgb="FFFBF6EC"/>
        <color rgb="FF43704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체중별_손익표</vt:lpstr>
      <vt:lpstr>거리구간표</vt:lpstr>
      <vt:lpstr>기준값</vt:lpstr>
      <vt:lpstr>거리구간별_체중별_손익표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유선 심</cp:lastModifiedBy>
  <cp:revision>0</cp:revision>
  <dcterms:created xsi:type="dcterms:W3CDTF">2026-09-16T06:05:34Z</dcterms:created>
  <dcterms:modified xsi:type="dcterms:W3CDTF">2026-10-12T02:06:35Z</dcterms:modified>
  <dc:language>en-US</dc:language>
</cp:coreProperties>
</file>